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 Recovery Strategy" sheetId="1" r:id="rId4"/>
    <sheet state="visible" name="Market Swing Strategy" sheetId="2" r:id="rId5"/>
    <sheet state="visible" name="Ultimate Watchlist" sheetId="3" r:id="rId6"/>
    <sheet state="visible" name="Health" sheetId="4" r:id="rId7"/>
    <sheet state="visible" name="IPO" sheetId="5" r:id="rId8"/>
    <sheet state="visible" name="High Dividends Opportunity" sheetId="6" r:id="rId9"/>
    <sheet state="visible" name="Real Penny" sheetId="7" r:id="rId10"/>
    <sheet state="visible" name="Buy Low, Sell High" sheetId="8" r:id="rId11"/>
  </sheets>
  <definedNames/>
  <calcPr/>
  <extLst>
    <ext uri="GoogleSheetsCustomDataVersion1">
      <go:sheetsCustomData xmlns:go="http://customooxmlschemas.google.com/" r:id="rId12" roundtripDataSignature="AMtx7mjloFsLcfbCG2YUJamtWuEfNdugVw=="/>
    </ext>
  </extLst>
</workbook>
</file>

<file path=xl/sharedStrings.xml><?xml version="1.0" encoding="utf-8"?>
<sst xmlns="http://schemas.openxmlformats.org/spreadsheetml/2006/main" count="311" uniqueCount="253">
  <si>
    <t>Name</t>
  </si>
  <si>
    <t>Note</t>
  </si>
  <si>
    <t>Industry</t>
  </si>
  <si>
    <t>Price</t>
  </si>
  <si>
    <t>52 Weeks Peak</t>
  </si>
  <si>
    <t xml:space="preserve">Return </t>
  </si>
  <si>
    <t>Profit margin</t>
  </si>
  <si>
    <t>Sector</t>
  </si>
  <si>
    <t>Outst shares (m)</t>
  </si>
  <si>
    <t>Market Cap</t>
  </si>
  <si>
    <t>Growth</t>
  </si>
  <si>
    <t>EPS</t>
  </si>
  <si>
    <t>Market Price ( Dynamic data)</t>
  </si>
  <si>
    <t>Ticker</t>
  </si>
  <si>
    <t>%chg</t>
  </si>
  <si>
    <t>P/E</t>
  </si>
  <si>
    <t>1yr return</t>
  </si>
  <si>
    <t>Price at peak (52 Wks Hgh)</t>
  </si>
  <si>
    <t>5yr Returns</t>
  </si>
  <si>
    <t>% Chang since peak</t>
  </si>
  <si>
    <t>Analysis conclusion</t>
  </si>
  <si>
    <t>Expected Returns per share</t>
  </si>
  <si>
    <t>Shares (Q)</t>
  </si>
  <si>
    <t>TREE</t>
  </si>
  <si>
    <t>Gross Cost</t>
  </si>
  <si>
    <t>Gross Returns</t>
  </si>
  <si>
    <t>Paypal</t>
  </si>
  <si>
    <t>MNST</t>
  </si>
  <si>
    <t>Kraft</t>
  </si>
  <si>
    <t>Monster</t>
  </si>
  <si>
    <t>ETSY</t>
  </si>
  <si>
    <t>Apple</t>
  </si>
  <si>
    <t>IPO, new, pot hih gwth</t>
  </si>
  <si>
    <t>Microsoft</t>
  </si>
  <si>
    <t>CLH</t>
  </si>
  <si>
    <t>Disney</t>
  </si>
  <si>
    <t>JPM</t>
  </si>
  <si>
    <t>DKS</t>
  </si>
  <si>
    <t>SQ</t>
  </si>
  <si>
    <t>KFY</t>
  </si>
  <si>
    <t>POOL</t>
  </si>
  <si>
    <t>SEDG</t>
  </si>
  <si>
    <t>52 weeks chg</t>
  </si>
  <si>
    <t>current price</t>
  </si>
  <si>
    <t>sell price</t>
  </si>
  <si>
    <t>%price chg</t>
  </si>
  <si>
    <t>recent high</t>
  </si>
  <si>
    <t>NVDA</t>
  </si>
  <si>
    <t>1st res</t>
  </si>
  <si>
    <t>2nd res</t>
  </si>
  <si>
    <t>candle</t>
  </si>
  <si>
    <t>1 sup</t>
  </si>
  <si>
    <t>2 sup</t>
  </si>
  <si>
    <t>date</t>
  </si>
  <si>
    <t>initial vol(m)</t>
  </si>
  <si>
    <t>current vol(m)</t>
  </si>
  <si>
    <t>vol %chg</t>
  </si>
  <si>
    <t>chart pat</t>
  </si>
  <si>
    <t>marked entry</t>
  </si>
  <si>
    <t>Oil Bears</t>
  </si>
  <si>
    <t>DWT</t>
  </si>
  <si>
    <t>Gold Miners</t>
  </si>
  <si>
    <t>Dollar Bull</t>
  </si>
  <si>
    <t>Financial Bears</t>
  </si>
  <si>
    <t>Financial Bulls</t>
  </si>
  <si>
    <t>Biotech Bulls</t>
  </si>
  <si>
    <t>Biotech Bears</t>
  </si>
  <si>
    <t>YUM</t>
  </si>
  <si>
    <t>S&amp;P 500 Bulls</t>
  </si>
  <si>
    <t>Brazil Bull</t>
  </si>
  <si>
    <t>EWZ</t>
  </si>
  <si>
    <t>Brazil Bears</t>
  </si>
  <si>
    <t>China Bull</t>
  </si>
  <si>
    <t>China Bears</t>
  </si>
  <si>
    <t>Nasdaq Top</t>
  </si>
  <si>
    <t>QQQ</t>
  </si>
  <si>
    <t>SmallCap Quality Dividend Growth</t>
  </si>
  <si>
    <t>DGRS</t>
  </si>
  <si>
    <t>HomeBuilders Bull</t>
  </si>
  <si>
    <t>apply linear programming an equation to sort them according to thier expected returns</t>
  </si>
  <si>
    <t>HomeBuilders Bears</t>
  </si>
  <si>
    <t>Mortgage Payment Bull</t>
  </si>
  <si>
    <t>MCD</t>
  </si>
  <si>
    <t>Energy Bears</t>
  </si>
  <si>
    <t>ALLE</t>
  </si>
  <si>
    <t xml:space="preserve">  </t>
  </si>
  <si>
    <t>VVNT</t>
  </si>
  <si>
    <t>LEN</t>
  </si>
  <si>
    <t>TFC</t>
  </si>
  <si>
    <t>UMPQ</t>
  </si>
  <si>
    <t>USB</t>
  </si>
  <si>
    <t>RMAX</t>
  </si>
  <si>
    <t>IPO, pot hih gwth</t>
  </si>
  <si>
    <t>JLL</t>
  </si>
  <si>
    <t>LGIH</t>
  </si>
  <si>
    <t>LUV</t>
  </si>
  <si>
    <t>SBNY</t>
  </si>
  <si>
    <t>MTB</t>
  </si>
  <si>
    <t>EL</t>
  </si>
  <si>
    <t>UN</t>
  </si>
  <si>
    <t>PG</t>
  </si>
  <si>
    <t>MSCI</t>
  </si>
  <si>
    <t>Oversold</t>
  </si>
  <si>
    <t>stock that had a continous pattern then dipped, high volume</t>
  </si>
  <si>
    <t>set slightly higher than resistance level to enter e.g. if resistance is 1.80 enter 1.85 - 0.05 margin</t>
  </si>
  <si>
    <t>stocks</t>
  </si>
  <si>
    <t>catalyst</t>
  </si>
  <si>
    <t>%drop</t>
  </si>
  <si>
    <t>initial price</t>
  </si>
  <si>
    <t>avg vol</t>
  </si>
  <si>
    <t>50%p/share</t>
  </si>
  <si>
    <t>IGC</t>
  </si>
  <si>
    <t>sell off</t>
  </si>
  <si>
    <t>KMPR</t>
  </si>
  <si>
    <t>WRB</t>
  </si>
  <si>
    <t>red</t>
  </si>
  <si>
    <t>fish hook</t>
  </si>
  <si>
    <t>VTVT</t>
  </si>
  <si>
    <t>CB</t>
  </si>
  <si>
    <t>green</t>
  </si>
  <si>
    <t>OGEN</t>
  </si>
  <si>
    <t>TSLA</t>
  </si>
  <si>
    <t>SWK</t>
  </si>
  <si>
    <t>TRVN</t>
  </si>
  <si>
    <t>ATVI</t>
  </si>
  <si>
    <t>ALLY</t>
  </si>
  <si>
    <t>must buy</t>
  </si>
  <si>
    <t>BAC</t>
  </si>
  <si>
    <t>WFC</t>
  </si>
  <si>
    <t>PRU</t>
  </si>
  <si>
    <t>MET</t>
  </si>
  <si>
    <t>AMTD</t>
  </si>
  <si>
    <t>MS</t>
  </si>
  <si>
    <t>GS</t>
  </si>
  <si>
    <t>FB</t>
  </si>
  <si>
    <t>TWTR</t>
  </si>
  <si>
    <t>MMC</t>
  </si>
  <si>
    <t>AON</t>
  </si>
  <si>
    <t>NLSN</t>
  </si>
  <si>
    <t>EMR</t>
  </si>
  <si>
    <t>HD</t>
  </si>
  <si>
    <t>LOW</t>
  </si>
  <si>
    <t>WSM</t>
  </si>
  <si>
    <t>RH</t>
  </si>
  <si>
    <t>Potential Penny Stocks</t>
  </si>
  <si>
    <t>Vol</t>
  </si>
  <si>
    <t>vol chg</t>
  </si>
  <si>
    <t>price</t>
  </si>
  <si>
    <t>overall %chg from start</t>
  </si>
  <si>
    <t>all-time high</t>
  </si>
  <si>
    <t>MNGA</t>
  </si>
  <si>
    <t>67m</t>
  </si>
  <si>
    <t>FLKS</t>
  </si>
  <si>
    <t>4m</t>
  </si>
  <si>
    <t>EYEG</t>
  </si>
  <si>
    <t>18.5m</t>
  </si>
  <si>
    <t>NSPR</t>
  </si>
  <si>
    <t>9m</t>
  </si>
  <si>
    <t>Breakout Stocks</t>
  </si>
  <si>
    <t>UNH</t>
  </si>
  <si>
    <t>YGYI</t>
  </si>
  <si>
    <t>Known Stocks</t>
  </si>
  <si>
    <t>name</t>
  </si>
  <si>
    <t>prev buy price</t>
  </si>
  <si>
    <t>past P/L</t>
  </si>
  <si>
    <t>poss. p/share</t>
  </si>
  <si>
    <t>GO</t>
  </si>
  <si>
    <t>CUK</t>
  </si>
  <si>
    <t>SYY</t>
  </si>
  <si>
    <t>KHC</t>
  </si>
  <si>
    <t>APO</t>
  </si>
  <si>
    <t>MIDD</t>
  </si>
  <si>
    <t>IR</t>
  </si>
  <si>
    <t>Buy Low, Sell High Position Trading</t>
  </si>
  <si>
    <t>month res &amp; sup</t>
  </si>
  <si>
    <t>52 weeks res &amp; support</t>
  </si>
  <si>
    <t>50% profit</t>
  </si>
  <si>
    <t>NOS</t>
  </si>
  <si>
    <t>chg</t>
  </si>
  <si>
    <t>1st vol</t>
  </si>
  <si>
    <t>now vol</t>
  </si>
  <si>
    <t>current res</t>
  </si>
  <si>
    <t>ROP</t>
  </si>
  <si>
    <r>
      <t>current sup (</t>
    </r>
    <r>
      <rPr>
        <rFont val="Calibri"/>
        <b/>
        <color theme="1"/>
        <sz val="11.0"/>
      </rPr>
      <t>2nd buy</t>
    </r>
    <r>
      <rPr>
        <rFont val="Calibri"/>
        <color theme="1"/>
        <sz val="11.0"/>
      </rPr>
      <t>)</t>
    </r>
  </si>
  <si>
    <t>high res</t>
  </si>
  <si>
    <r>
      <t>low sup (</t>
    </r>
    <r>
      <rPr>
        <rFont val="Calibri"/>
        <b/>
        <color theme="1"/>
        <sz val="11.0"/>
      </rPr>
      <t>buy</t>
    </r>
    <r>
      <rPr>
        <rFont val="Calibri"/>
        <color theme="1"/>
        <sz val="11.0"/>
      </rPr>
      <t>)</t>
    </r>
  </si>
  <si>
    <t>pot. p/share</t>
  </si>
  <si>
    <t>profit</t>
  </si>
  <si>
    <t xml:space="preserve">cost </t>
  </si>
  <si>
    <t>mim. sell price</t>
  </si>
  <si>
    <t>1yr chart</t>
  </si>
  <si>
    <t>MMM</t>
  </si>
  <si>
    <t>DHR</t>
  </si>
  <si>
    <t>HON</t>
  </si>
  <si>
    <t>up &amp; down</t>
  </si>
  <si>
    <t>WBA</t>
  </si>
  <si>
    <t>TAL</t>
  </si>
  <si>
    <t>SNE</t>
  </si>
  <si>
    <t>uptrend</t>
  </si>
  <si>
    <t>NFLX</t>
  </si>
  <si>
    <t>AAPL</t>
  </si>
  <si>
    <t>BBY</t>
  </si>
  <si>
    <t>LYV</t>
  </si>
  <si>
    <t>CMCSA</t>
  </si>
  <si>
    <t>DIS</t>
  </si>
  <si>
    <t>DE</t>
  </si>
  <si>
    <t>CAT</t>
  </si>
  <si>
    <t>ANET</t>
  </si>
  <si>
    <t>BURL</t>
  </si>
  <si>
    <t>WMT</t>
  </si>
  <si>
    <t>AMZN</t>
  </si>
  <si>
    <t>CIEN</t>
  </si>
  <si>
    <t>ZBRA</t>
  </si>
  <si>
    <t>TECD</t>
  </si>
  <si>
    <t>HSY</t>
  </si>
  <si>
    <t>MA</t>
  </si>
  <si>
    <t>V</t>
  </si>
  <si>
    <t>PYPL</t>
  </si>
  <si>
    <t>PAGS</t>
  </si>
  <si>
    <t>NTAP</t>
  </si>
  <si>
    <t>NEOG</t>
  </si>
  <si>
    <t>IDXX</t>
  </si>
  <si>
    <t>MSFT</t>
  </si>
  <si>
    <t>AZPN</t>
  </si>
  <si>
    <t>FICO</t>
  </si>
  <si>
    <t>ALV</t>
  </si>
  <si>
    <t>LEA</t>
  </si>
  <si>
    <t>ORLY</t>
  </si>
  <si>
    <t>PEP</t>
  </si>
  <si>
    <t>KO</t>
  </si>
  <si>
    <t>STZ</t>
  </si>
  <si>
    <t>BF-B</t>
  </si>
  <si>
    <t>IONS</t>
  </si>
  <si>
    <t>ILMN</t>
  </si>
  <si>
    <t>BIIB</t>
  </si>
  <si>
    <t>AMGN</t>
  </si>
  <si>
    <t>SPOT</t>
  </si>
  <si>
    <t>RBA</t>
  </si>
  <si>
    <t>CPRT</t>
  </si>
  <si>
    <t>KMX</t>
  </si>
  <si>
    <t>KKR</t>
  </si>
  <si>
    <t>TTD</t>
  </si>
  <si>
    <t>ADBE</t>
  </si>
  <si>
    <t>CRM</t>
  </si>
  <si>
    <t>RNG</t>
  </si>
  <si>
    <t>APPF</t>
  </si>
  <si>
    <t>ANSS</t>
  </si>
  <si>
    <t>ROST</t>
  </si>
  <si>
    <t>OMC</t>
  </si>
  <si>
    <t>Advertising Agencies</t>
  </si>
  <si>
    <t>IPG</t>
  </si>
  <si>
    <t>TRUP</t>
  </si>
  <si>
    <t>TRU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</si>
</sst>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color theme="1"/>
      <name val="Calibri"/>
    </font>
    <font>
      <b/>
      <sz val="11.0"/>
      <color theme="1"/>
      <name val="Calibri"/>
    </font>
    <font>
      <color rgb="FFFFFFFF"/>
      <name val="Calibri"/>
    </font>
    <font>
      <u/>
      <sz val="11.0"/>
      <color rgb="FF1E6DC0"/>
      <name val="Arial"/>
    </font>
    <font>
      <u/>
      <sz val="12.0"/>
      <color rgb="FF000000"/>
      <name val="Arial"/>
    </font>
    <font>
      <sz val="11.0"/>
      <color theme="1"/>
      <name val="Calibri"/>
    </font>
    <font>
      <sz val="11.0"/>
      <color rgb="FF000000"/>
      <name val="Docs-Calibri"/>
    </font>
    <font>
      <u/>
      <sz val="12.0"/>
      <color rgb="FF1E6DC0"/>
      <name val="Arial"/>
    </font>
    <font>
      <u/>
      <sz val="8.0"/>
      <color rgb="FF1E6DC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2" fontId="3" numFmtId="0" xfId="0" applyFont="1"/>
    <xf borderId="0" fillId="3" fontId="5" numFmtId="0" xfId="0" applyAlignment="1" applyFont="1">
      <alignment readingOrder="0"/>
    </xf>
    <xf borderId="0" fillId="0" fontId="6" numFmtId="14" xfId="0" applyFont="1" applyNumberFormat="1"/>
    <xf borderId="0" fillId="3" fontId="7" numFmtId="0" xfId="0" applyAlignment="1" applyFont="1">
      <alignment horizontal="left" readingOrder="0"/>
    </xf>
    <xf borderId="0" fillId="3" fontId="8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6" numFmtId="16" xfId="0" applyFont="1" applyNumberFormat="1"/>
    <xf borderId="0" fillId="3" fontId="9" numFmtId="0" xfId="0" applyAlignment="1" applyFont="1">
      <alignment readingOrder="0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inviz.com/quote.ashx?t=MS&amp;ty=c&amp;ta=1&amp;p=d&amp;b=1" TargetMode="External"/><Relationship Id="rId42" Type="http://schemas.openxmlformats.org/officeDocument/2006/relationships/hyperlink" Target="https://finviz.com/quote.ashx?t=FB&amp;ty=c&amp;ta=1&amp;p=d&amp;b=1" TargetMode="External"/><Relationship Id="rId41" Type="http://schemas.openxmlformats.org/officeDocument/2006/relationships/hyperlink" Target="https://finviz.com/quote.ashx?t=GS&amp;ty=c&amp;ta=1&amp;p=d&amp;b=1" TargetMode="External"/><Relationship Id="rId44" Type="http://schemas.openxmlformats.org/officeDocument/2006/relationships/hyperlink" Target="https://finviz.com/quote.ashx?t=TWTR&amp;ty=c&amp;ta=1&amp;p=d&amp;b=1" TargetMode="External"/><Relationship Id="rId43" Type="http://schemas.openxmlformats.org/officeDocument/2006/relationships/hyperlink" Target="https://finviz.com/quote.ashx?t=SQ&amp;ty=c&amp;ta=1&amp;p=d&amp;b=1" TargetMode="External"/><Relationship Id="rId46" Type="http://schemas.openxmlformats.org/officeDocument/2006/relationships/hyperlink" Target="https://finviz.com/quote.ashx?t=AON&amp;ty=c&amp;ta=1&amp;p=d&amp;b=1" TargetMode="External"/><Relationship Id="rId45" Type="http://schemas.openxmlformats.org/officeDocument/2006/relationships/hyperlink" Target="https://finviz.com/quote.ashx?t=MMC&amp;ty=c&amp;ta=1&amp;p=d&amp;b=1" TargetMode="External"/><Relationship Id="rId107" Type="http://schemas.openxmlformats.org/officeDocument/2006/relationships/hyperlink" Target="https://finviz.com/quote.ashx?t=CPRT&amp;ty=c&amp;ta=0&amp;p=m&amp;b=1" TargetMode="External"/><Relationship Id="rId106" Type="http://schemas.openxmlformats.org/officeDocument/2006/relationships/hyperlink" Target="https://finviz.com/quote.ashx?t=RBA&amp;ty=c&amp;ta=0&amp;p=m&amp;b=1" TargetMode="External"/><Relationship Id="rId105" Type="http://schemas.openxmlformats.org/officeDocument/2006/relationships/hyperlink" Target="https://finviz.com/quote.ashx?t=SPOT&amp;ty=c&amp;ta=0&amp;p=m&amp;b=1" TargetMode="External"/><Relationship Id="rId104" Type="http://schemas.openxmlformats.org/officeDocument/2006/relationships/hyperlink" Target="https://finviz.com/quote.ashx?t=AMGN&amp;ty=c&amp;ta=0&amp;p=m&amp;b=1" TargetMode="External"/><Relationship Id="rId109" Type="http://schemas.openxmlformats.org/officeDocument/2006/relationships/hyperlink" Target="https://finviz.com/quote.ashx?t=KKR&amp;ty=c&amp;ta=0&amp;p=m&amp;b=1" TargetMode="External"/><Relationship Id="rId108" Type="http://schemas.openxmlformats.org/officeDocument/2006/relationships/hyperlink" Target="https://finviz.com/quote.ashx?t=KMX&amp;ty=c&amp;ta=0&amp;p=m&amp;b=1" TargetMode="External"/><Relationship Id="rId48" Type="http://schemas.openxmlformats.org/officeDocument/2006/relationships/hyperlink" Target="https://finviz.com/quote.ashx?t=EMR&amp;ty=c&amp;ta=1&amp;p=d&amp;b=1" TargetMode="External"/><Relationship Id="rId47" Type="http://schemas.openxmlformats.org/officeDocument/2006/relationships/hyperlink" Target="https://finviz.com/quote.ashx?t=NLSN&amp;ty=c&amp;ta=1&amp;p=d&amp;b=1" TargetMode="External"/><Relationship Id="rId49" Type="http://schemas.openxmlformats.org/officeDocument/2006/relationships/hyperlink" Target="https://finviz.com/quote.ashx?t=HD&amp;ty=c&amp;ta=1&amp;p=d&amp;b=1" TargetMode="External"/><Relationship Id="rId103" Type="http://schemas.openxmlformats.org/officeDocument/2006/relationships/hyperlink" Target="https://finviz.com/quote.ashx?t=BIIB&amp;ty=c&amp;ta=0&amp;p=m&amp;b=1" TargetMode="External"/><Relationship Id="rId102" Type="http://schemas.openxmlformats.org/officeDocument/2006/relationships/hyperlink" Target="https://finviz.com/quote.ashx?t=ILMN&amp;ty=c&amp;ta=0&amp;p=m&amp;b=1" TargetMode="External"/><Relationship Id="rId101" Type="http://schemas.openxmlformats.org/officeDocument/2006/relationships/hyperlink" Target="https://finviz.com/quote.ashx?t=IONS&amp;ty=c&amp;ta=0&amp;p=m&amp;b=1" TargetMode="External"/><Relationship Id="rId100" Type="http://schemas.openxmlformats.org/officeDocument/2006/relationships/hyperlink" Target="https://finviz.com/quote.ashx?t=BF-B&amp;ty=c&amp;ta=0&amp;p=m&amp;b=1" TargetMode="External"/><Relationship Id="rId31" Type="http://schemas.openxmlformats.org/officeDocument/2006/relationships/hyperlink" Target="https://finviz.com/quote.ashx?t=SWK&amp;ty=c&amp;ta=0&amp;p=m&amp;b=1" TargetMode="External"/><Relationship Id="rId30" Type="http://schemas.openxmlformats.org/officeDocument/2006/relationships/hyperlink" Target="https://finviz.com/quote.ashx?t=CB&amp;ty=c&amp;ta=0&amp;p=m&amp;b=1" TargetMode="External"/><Relationship Id="rId33" Type="http://schemas.openxmlformats.org/officeDocument/2006/relationships/hyperlink" Target="https://finviz.com/quote.ashx?t=ALLY&amp;ty=c&amp;ta=1&amp;p=d&amp;b=1" TargetMode="External"/><Relationship Id="rId32" Type="http://schemas.openxmlformats.org/officeDocument/2006/relationships/hyperlink" Target="https://finviz.com/quote.ashx?t=ATVI&amp;ty=c&amp;ta=1&amp;p=d&amp;b=1" TargetMode="External"/><Relationship Id="rId35" Type="http://schemas.openxmlformats.org/officeDocument/2006/relationships/hyperlink" Target="https://finviz.com/quote.ashx?t=BAC&amp;ty=c&amp;ta=0&amp;p=m&amp;b=1" TargetMode="External"/><Relationship Id="rId34" Type="http://schemas.openxmlformats.org/officeDocument/2006/relationships/hyperlink" Target="https://finviz.com/quote.ashx?t=JPM&amp;ty=c&amp;ta=0&amp;p=m&amp;b=1" TargetMode="External"/><Relationship Id="rId37" Type="http://schemas.openxmlformats.org/officeDocument/2006/relationships/hyperlink" Target="https://finviz.com/quote.ashx?t=PRU&amp;ty=c&amp;ta=0&amp;p=m&amp;b=1" TargetMode="External"/><Relationship Id="rId36" Type="http://schemas.openxmlformats.org/officeDocument/2006/relationships/hyperlink" Target="https://finviz.com/quote.ashx?t=WFC&amp;ty=c&amp;ta=1&amp;p=d&amp;b=1" TargetMode="External"/><Relationship Id="rId39" Type="http://schemas.openxmlformats.org/officeDocument/2006/relationships/hyperlink" Target="https://finviz.com/quote.ashx?t=AMTD&amp;ty=c&amp;ta=1&amp;p=d&amp;b=1" TargetMode="External"/><Relationship Id="rId38" Type="http://schemas.openxmlformats.org/officeDocument/2006/relationships/hyperlink" Target="https://finviz.com/quote.ashx?t=MET&amp;ty=c&amp;ta=1&amp;p=d&amp;b=1" TargetMode="External"/><Relationship Id="rId20" Type="http://schemas.openxmlformats.org/officeDocument/2006/relationships/hyperlink" Target="https://finviz.com/quote.ashx?t=LGIH&amp;ty=c&amp;ta=1&amp;p=d&amp;b=1" TargetMode="External"/><Relationship Id="rId22" Type="http://schemas.openxmlformats.org/officeDocument/2006/relationships/hyperlink" Target="https://finviz.com/quote.ashx?t=SBNY&amp;ty=c&amp;ta=1&amp;p=d&amp;b=1" TargetMode="External"/><Relationship Id="rId21" Type="http://schemas.openxmlformats.org/officeDocument/2006/relationships/hyperlink" Target="https://finviz.com/quote.ashx?t=LUV&amp;ty=c&amp;ta=1&amp;p=d&amp;b=1" TargetMode="External"/><Relationship Id="rId24" Type="http://schemas.openxmlformats.org/officeDocument/2006/relationships/hyperlink" Target="https://finviz.com/quote.ashx?t=EL&amp;ty=c&amp;ta=1&amp;p=d&amp;b=1" TargetMode="External"/><Relationship Id="rId23" Type="http://schemas.openxmlformats.org/officeDocument/2006/relationships/hyperlink" Target="https://finviz.com/quote.ashx?t=MTB&amp;ty=c&amp;ta=1&amp;p=d&amp;b=1" TargetMode="External"/><Relationship Id="rId26" Type="http://schemas.openxmlformats.org/officeDocument/2006/relationships/hyperlink" Target="https://finviz.com/quote.ashx?t=PG&amp;ty=c&amp;ta=1&amp;p=d&amp;b=1" TargetMode="External"/><Relationship Id="rId121" Type="http://schemas.openxmlformats.org/officeDocument/2006/relationships/hyperlink" Target="https://finviz.com/quote.ashx?t=TRUP&amp;ty=c&amp;ta=0&amp;p=m&amp;b=1" TargetMode="External"/><Relationship Id="rId25" Type="http://schemas.openxmlformats.org/officeDocument/2006/relationships/hyperlink" Target="https://finviz.com/quote.ashx?t=UN&amp;ty=c&amp;ta=1&amp;p=d&amp;b=1" TargetMode="External"/><Relationship Id="rId120" Type="http://schemas.openxmlformats.org/officeDocument/2006/relationships/hyperlink" Target="https://finviz.com/screener.ashx?v=111&amp;f=ind_advertisingagencies" TargetMode="External"/><Relationship Id="rId28" Type="http://schemas.openxmlformats.org/officeDocument/2006/relationships/hyperlink" Target="https://finviz.com/quote.ashx?t=KMPR&amp;ty=c&amp;ta=0&amp;p=m&amp;b=1" TargetMode="External"/><Relationship Id="rId27" Type="http://schemas.openxmlformats.org/officeDocument/2006/relationships/hyperlink" Target="https://finviz.com/quote.ashx?t=MSCI&amp;ty=c&amp;ta=1&amp;p=d&amp;b=1" TargetMode="External"/><Relationship Id="rId29" Type="http://schemas.openxmlformats.org/officeDocument/2006/relationships/hyperlink" Target="https://finviz.com/quote.ashx?t=WRB&amp;ty=c&amp;ta=1&amp;p=d&amp;b=1" TargetMode="External"/><Relationship Id="rId123" Type="http://schemas.openxmlformats.org/officeDocument/2006/relationships/drawing" Target="../drawings/drawing3.xml"/><Relationship Id="rId122" Type="http://schemas.openxmlformats.org/officeDocument/2006/relationships/hyperlink" Target="https://finviz.com/quote.ashx?t=TRU&amp;ty=c&amp;ta=0&amp;p=m&amp;b=1" TargetMode="External"/><Relationship Id="rId95" Type="http://schemas.openxmlformats.org/officeDocument/2006/relationships/hyperlink" Target="https://finviz.com/quote.ashx?t=ORLY&amp;ty=c&amp;ta=0&amp;p=m&amp;b=1" TargetMode="External"/><Relationship Id="rId94" Type="http://schemas.openxmlformats.org/officeDocument/2006/relationships/hyperlink" Target="https://finviz.com/quote.ashx?t=LEA&amp;ty=c&amp;ta=0&amp;p=m&amp;b=1" TargetMode="External"/><Relationship Id="rId97" Type="http://schemas.openxmlformats.org/officeDocument/2006/relationships/hyperlink" Target="https://finviz.com/quote.ashx?t=PEP&amp;ty=c&amp;ta=0&amp;p=m&amp;b=1" TargetMode="External"/><Relationship Id="rId96" Type="http://schemas.openxmlformats.org/officeDocument/2006/relationships/hyperlink" Target="https://finviz.com/quote.ashx?t=MNST&amp;ty=c&amp;ta=0&amp;p=m&amp;b=1" TargetMode="External"/><Relationship Id="rId11" Type="http://schemas.openxmlformats.org/officeDocument/2006/relationships/hyperlink" Target="https://finviz.com/quote.ashx?t=MCD&amp;ty=c&amp;ta=0&amp;p=m&amp;b=1" TargetMode="External"/><Relationship Id="rId99" Type="http://schemas.openxmlformats.org/officeDocument/2006/relationships/hyperlink" Target="https://finviz.com/quote.ashx?t=STZ&amp;ty=c&amp;ta=0&amp;p=m&amp;b=1" TargetMode="External"/><Relationship Id="rId10" Type="http://schemas.openxmlformats.org/officeDocument/2006/relationships/hyperlink" Target="https://finviz.com/quote.ashx?t=YUM&amp;ty=c&amp;ta=0&amp;p=m&amp;b=1" TargetMode="External"/><Relationship Id="rId98" Type="http://schemas.openxmlformats.org/officeDocument/2006/relationships/hyperlink" Target="https://finviz.com/quote.ashx?t=KO&amp;ty=c&amp;ta=0&amp;p=m&amp;b=1" TargetMode="External"/><Relationship Id="rId13" Type="http://schemas.openxmlformats.org/officeDocument/2006/relationships/hyperlink" Target="https://finviz.com/quote.ashx?t=VVNT&amp;ty=c&amp;ta=0&amp;p=m&amp;b=1" TargetMode="External"/><Relationship Id="rId12" Type="http://schemas.openxmlformats.org/officeDocument/2006/relationships/hyperlink" Target="https://finviz.com/quote.ashx?t=ALLE&amp;ty=c&amp;ta=1&amp;p=d&amp;b=1" TargetMode="External"/><Relationship Id="rId91" Type="http://schemas.openxmlformats.org/officeDocument/2006/relationships/hyperlink" Target="https://finviz.com/quote.ashx?t=AZPN&amp;ty=c&amp;ta=0&amp;p=m&amp;b=1" TargetMode="External"/><Relationship Id="rId90" Type="http://schemas.openxmlformats.org/officeDocument/2006/relationships/hyperlink" Target="https://finviz.com/quote.ashx?t=MSFT&amp;ty=c&amp;ta=0&amp;p=m&amp;b=1" TargetMode="External"/><Relationship Id="rId93" Type="http://schemas.openxmlformats.org/officeDocument/2006/relationships/hyperlink" Target="https://finviz.com/quote.ashx?t=ALV&amp;ty=c&amp;ta=0&amp;p=m&amp;b=1" TargetMode="External"/><Relationship Id="rId92" Type="http://schemas.openxmlformats.org/officeDocument/2006/relationships/hyperlink" Target="https://finviz.com/quote.ashx?t=FICO&amp;ty=c&amp;ta=0&amp;p=m&amp;b=1" TargetMode="External"/><Relationship Id="rId118" Type="http://schemas.openxmlformats.org/officeDocument/2006/relationships/hyperlink" Target="https://finviz.com/screener.ashx?v=111&amp;f=ind_advertisingagencies" TargetMode="External"/><Relationship Id="rId117" Type="http://schemas.openxmlformats.org/officeDocument/2006/relationships/hyperlink" Target="https://finviz.com/quote.ashx?t=OMC&amp;ty=c&amp;ta=0&amp;p=m&amp;b=1" TargetMode="External"/><Relationship Id="rId116" Type="http://schemas.openxmlformats.org/officeDocument/2006/relationships/hyperlink" Target="https://finviz.com/quote.ashx?t=ROST&amp;ty=c&amp;ta=0&amp;p=m&amp;b=1" TargetMode="External"/><Relationship Id="rId115" Type="http://schemas.openxmlformats.org/officeDocument/2006/relationships/hyperlink" Target="https://finviz.com/quote.ashx?t=ANSS&amp;ty=c&amp;ta=0&amp;p=m&amp;b=1" TargetMode="External"/><Relationship Id="rId119" Type="http://schemas.openxmlformats.org/officeDocument/2006/relationships/hyperlink" Target="https://finviz.com/quote.ashx?t=IPG&amp;ty=c&amp;ta=0&amp;p=m&amp;b=1" TargetMode="External"/><Relationship Id="rId15" Type="http://schemas.openxmlformats.org/officeDocument/2006/relationships/hyperlink" Target="https://finviz.com/quote.ashx?t=TFC&amp;ty=c&amp;ta=1&amp;p=d&amp;b=1" TargetMode="External"/><Relationship Id="rId110" Type="http://schemas.openxmlformats.org/officeDocument/2006/relationships/hyperlink" Target="https://finviz.com/quote.ashx?t=TTD&amp;ty=c&amp;ta=0&amp;p=m&amp;b=1" TargetMode="External"/><Relationship Id="rId14" Type="http://schemas.openxmlformats.org/officeDocument/2006/relationships/hyperlink" Target="https://finviz.com/quote.ashx?t=LEN&amp;ty=c&amp;ta=0&amp;p=m&amp;b=1" TargetMode="External"/><Relationship Id="rId17" Type="http://schemas.openxmlformats.org/officeDocument/2006/relationships/hyperlink" Target="https://finviz.com/quote.ashx?t=USB&amp;ty=c&amp;ta=1&amp;p=d&amp;b=1" TargetMode="External"/><Relationship Id="rId16" Type="http://schemas.openxmlformats.org/officeDocument/2006/relationships/hyperlink" Target="https://finviz.com/quote.ashx?t=UMPQ&amp;ty=c&amp;ta=1&amp;p=d&amp;b=1" TargetMode="External"/><Relationship Id="rId19" Type="http://schemas.openxmlformats.org/officeDocument/2006/relationships/hyperlink" Target="https://finviz.com/quote.ashx?t=JLL&amp;ty=c&amp;ta=0&amp;p=m&amp;b=1" TargetMode="External"/><Relationship Id="rId114" Type="http://schemas.openxmlformats.org/officeDocument/2006/relationships/hyperlink" Target="https://finviz.com/quote.ashx?t=APPF&amp;ty=c&amp;ta=0&amp;p=m&amp;b=1" TargetMode="External"/><Relationship Id="rId18" Type="http://schemas.openxmlformats.org/officeDocument/2006/relationships/hyperlink" Target="https://finviz.com/quote.ashx?t=RMAX&amp;ty=c&amp;ta=0&amp;p=m&amp;b=1" TargetMode="External"/><Relationship Id="rId113" Type="http://schemas.openxmlformats.org/officeDocument/2006/relationships/hyperlink" Target="https://finviz.com/quote.ashx?t=RNG&amp;ty=c&amp;ta=0&amp;p=m&amp;b=1" TargetMode="External"/><Relationship Id="rId112" Type="http://schemas.openxmlformats.org/officeDocument/2006/relationships/hyperlink" Target="https://finviz.com/quote.ashx?t=CRM&amp;ty=c&amp;ta=0&amp;p=m&amp;b=1" TargetMode="External"/><Relationship Id="rId111" Type="http://schemas.openxmlformats.org/officeDocument/2006/relationships/hyperlink" Target="https://finviz.com/quote.ashx?t=ADBE&amp;ty=c&amp;ta=0&amp;p=m&amp;b=1" TargetMode="External"/><Relationship Id="rId84" Type="http://schemas.openxmlformats.org/officeDocument/2006/relationships/hyperlink" Target="https://finviz.com/quote.ashx?t=V&amp;ty=c&amp;ta=1&amp;p=d&amp;b=1" TargetMode="External"/><Relationship Id="rId83" Type="http://schemas.openxmlformats.org/officeDocument/2006/relationships/hyperlink" Target="https://finviz.com/quote.ashx?t=MA&amp;ty=c&amp;ta=1&amp;p=d&amp;b=1" TargetMode="External"/><Relationship Id="rId86" Type="http://schemas.openxmlformats.org/officeDocument/2006/relationships/hyperlink" Target="https://finviz.com/quote.ashx?t=PAGS&amp;ty=c&amp;ta=1&amp;p=d&amp;b=1" TargetMode="External"/><Relationship Id="rId85" Type="http://schemas.openxmlformats.org/officeDocument/2006/relationships/hyperlink" Target="https://finviz.com/quote.ashx?t=PYPL&amp;ty=c&amp;ta=1&amp;p=d&amp;b=1" TargetMode="External"/><Relationship Id="rId88" Type="http://schemas.openxmlformats.org/officeDocument/2006/relationships/hyperlink" Target="https://finviz.com/quote.ashx?t=NEOG&amp;ty=c&amp;ta=1&amp;p=d&amp;b=1" TargetMode="External"/><Relationship Id="rId87" Type="http://schemas.openxmlformats.org/officeDocument/2006/relationships/hyperlink" Target="https://finviz.com/quote.ashx?t=NTAP&amp;ty=c&amp;ta=1&amp;p=d&amp;b=1" TargetMode="External"/><Relationship Id="rId89" Type="http://schemas.openxmlformats.org/officeDocument/2006/relationships/hyperlink" Target="https://finviz.com/quote.ashx?t=IDXX&amp;ty=c&amp;ta=0&amp;p=m&amp;b=1" TargetMode="External"/><Relationship Id="rId80" Type="http://schemas.openxmlformats.org/officeDocument/2006/relationships/hyperlink" Target="https://finviz.com/quote.ashx?t=ZBRA&amp;ty=c&amp;ta=1&amp;p=d&amp;b=1" TargetMode="External"/><Relationship Id="rId82" Type="http://schemas.openxmlformats.org/officeDocument/2006/relationships/hyperlink" Target="https://finviz.com/quote.ashx?t=HSY&amp;ty=c&amp;ta=1&amp;p=d&amp;b=1" TargetMode="External"/><Relationship Id="rId81" Type="http://schemas.openxmlformats.org/officeDocument/2006/relationships/hyperlink" Target="https://finviz.com/quote.ashx?t=TECD&amp;ty=c&amp;ta=1&amp;p=d&amp;b=1" TargetMode="External"/><Relationship Id="rId1" Type="http://schemas.openxmlformats.org/officeDocument/2006/relationships/hyperlink" Target="https://finviz.com/quote.ashx?t=TREE&amp;ty=c&amp;ta=0&amp;p=m&amp;b=1" TargetMode="External"/><Relationship Id="rId2" Type="http://schemas.openxmlformats.org/officeDocument/2006/relationships/hyperlink" Target="https://finviz.com/quote.ashx?t=MNST&amp;ty=c&amp;ta=1&amp;p=d&amp;b=1" TargetMode="External"/><Relationship Id="rId3" Type="http://schemas.openxmlformats.org/officeDocument/2006/relationships/hyperlink" Target="https://finviz.com/quote.ashx?t=ETSY&amp;ty=c&amp;ta=0&amp;p=m&amp;b=1" TargetMode="External"/><Relationship Id="rId4" Type="http://schemas.openxmlformats.org/officeDocument/2006/relationships/hyperlink" Target="https://finviz.com/quote.ashx?t=CLH&amp;ty=c&amp;ta=0&amp;p=m&amp;b=1" TargetMode="External"/><Relationship Id="rId9" Type="http://schemas.openxmlformats.org/officeDocument/2006/relationships/hyperlink" Target="https://finviz.com/quote.ashx?t=NVDA&amp;ty=c&amp;ta=1&amp;p=d&amp;b=1" TargetMode="External"/><Relationship Id="rId5" Type="http://schemas.openxmlformats.org/officeDocument/2006/relationships/hyperlink" Target="https://finviz.com/quote.ashx?t=DKS&amp;ty=c&amp;ta=1&amp;p=d&amp;b=1" TargetMode="External"/><Relationship Id="rId6" Type="http://schemas.openxmlformats.org/officeDocument/2006/relationships/hyperlink" Target="https://finviz.com/quote.ashx?t=KFY&amp;ty=c&amp;ta=1&amp;p=d&amp;b=1" TargetMode="External"/><Relationship Id="rId7" Type="http://schemas.openxmlformats.org/officeDocument/2006/relationships/hyperlink" Target="https://finviz.com/quote.ashx?t=POOL&amp;ty=c&amp;ta=1&amp;p=d&amp;b=1" TargetMode="External"/><Relationship Id="rId8" Type="http://schemas.openxmlformats.org/officeDocument/2006/relationships/hyperlink" Target="https://finviz.com/quote.ashx?t=SEDG&amp;ty=c&amp;ta=1&amp;p=d&amp;b=1" TargetMode="External"/><Relationship Id="rId73" Type="http://schemas.openxmlformats.org/officeDocument/2006/relationships/hyperlink" Target="https://finviz.com/quote.ashx?t=DE&amp;ty=c&amp;ta=0&amp;p=m&amp;b=1" TargetMode="External"/><Relationship Id="rId72" Type="http://schemas.openxmlformats.org/officeDocument/2006/relationships/hyperlink" Target="https://finviz.com/quote.ashx?t=DIS&amp;ty=c&amp;ta=1&amp;p=d&amp;b=1" TargetMode="External"/><Relationship Id="rId75" Type="http://schemas.openxmlformats.org/officeDocument/2006/relationships/hyperlink" Target="https://finviz.com/quote.ashx?t=ANET&amp;ty=c&amp;ta=1&amp;p=d&amp;b=1" TargetMode="External"/><Relationship Id="rId74" Type="http://schemas.openxmlformats.org/officeDocument/2006/relationships/hyperlink" Target="https://finviz.com/quote.ashx?t=CAT&amp;ty=c&amp;ta=1&amp;p=d&amp;b=1" TargetMode="External"/><Relationship Id="rId77" Type="http://schemas.openxmlformats.org/officeDocument/2006/relationships/hyperlink" Target="https://finviz.com/quote.ashx?t=WMT&amp;ty=c&amp;ta=1&amp;p=d&amp;b=1" TargetMode="External"/><Relationship Id="rId76" Type="http://schemas.openxmlformats.org/officeDocument/2006/relationships/hyperlink" Target="https://finviz.com/quote.ashx?t=BURL&amp;ty=c&amp;ta=1&amp;p=d&amp;b=1" TargetMode="External"/><Relationship Id="rId79" Type="http://schemas.openxmlformats.org/officeDocument/2006/relationships/hyperlink" Target="https://finviz.com/quote.ashx?t=CIEN&amp;ty=c&amp;ta=1&amp;p=d&amp;b=1" TargetMode="External"/><Relationship Id="rId78" Type="http://schemas.openxmlformats.org/officeDocument/2006/relationships/hyperlink" Target="https://finviz.com/quote.ashx?t=AMZN&amp;ty=c&amp;ta=1&amp;p=d&amp;b=1" TargetMode="External"/><Relationship Id="rId71" Type="http://schemas.openxmlformats.org/officeDocument/2006/relationships/hyperlink" Target="https://finviz.com/quote.ashx?t=CMCSA&amp;ty=c&amp;ta=1&amp;p=d&amp;b=1" TargetMode="External"/><Relationship Id="rId70" Type="http://schemas.openxmlformats.org/officeDocument/2006/relationships/hyperlink" Target="https://finviz.com/quote.ashx?t=LYV&amp;ty=c&amp;ta=1&amp;p=d&amp;b=1" TargetMode="External"/><Relationship Id="rId62" Type="http://schemas.openxmlformats.org/officeDocument/2006/relationships/hyperlink" Target="https://finviz.com/quote.ashx?t=MMM&amp;ty=c&amp;ta=1&amp;p=d&amp;b=1" TargetMode="External"/><Relationship Id="rId61" Type="http://schemas.openxmlformats.org/officeDocument/2006/relationships/hyperlink" Target="https://finviz.com/quote.ashx?t=ROP&amp;ty=c&amp;ta=1&amp;p=d&amp;b=1" TargetMode="External"/><Relationship Id="rId64" Type="http://schemas.openxmlformats.org/officeDocument/2006/relationships/hyperlink" Target="https://finviz.com/quote.ashx?t=HON&amp;ty=c&amp;ta=1&amp;p=d&amp;b=1" TargetMode="External"/><Relationship Id="rId63" Type="http://schemas.openxmlformats.org/officeDocument/2006/relationships/hyperlink" Target="https://finviz.com/quote.ashx?t=DHR&amp;ty=c&amp;ta=1&amp;p=d&amp;b=1" TargetMode="External"/><Relationship Id="rId66" Type="http://schemas.openxmlformats.org/officeDocument/2006/relationships/hyperlink" Target="https://finviz.com/quote.ashx?t=TAL&amp;ty=c&amp;ta=1&amp;p=d&amp;b=1" TargetMode="External"/><Relationship Id="rId65" Type="http://schemas.openxmlformats.org/officeDocument/2006/relationships/hyperlink" Target="https://finviz.com/quote.ashx?t=WBA&amp;ty=c&amp;ta=1&amp;p=d&amp;b=1" TargetMode="External"/><Relationship Id="rId68" Type="http://schemas.openxmlformats.org/officeDocument/2006/relationships/hyperlink" Target="https://finviz.com/quote.ashx?t=AAPL&amp;ty=c&amp;ta=0&amp;p=m&amp;b=1" TargetMode="External"/><Relationship Id="rId67" Type="http://schemas.openxmlformats.org/officeDocument/2006/relationships/hyperlink" Target="https://finviz.com/quote.ashx?t=SNE&amp;ty=c&amp;ta=1&amp;p=d&amp;b=1" TargetMode="External"/><Relationship Id="rId60" Type="http://schemas.openxmlformats.org/officeDocument/2006/relationships/hyperlink" Target="https://finviz.com/quote.ashx?t=IR&amp;ty=c&amp;ta=1&amp;p=d&amp;b=1" TargetMode="External"/><Relationship Id="rId69" Type="http://schemas.openxmlformats.org/officeDocument/2006/relationships/hyperlink" Target="https://finviz.com/quote.ashx?t=BBY&amp;ty=c&amp;ta=1&amp;p=d&amp;b=1" TargetMode="External"/><Relationship Id="rId51" Type="http://schemas.openxmlformats.org/officeDocument/2006/relationships/hyperlink" Target="https://finviz.com/quote.ashx?t=WSM&amp;ty=c&amp;ta=1&amp;p=d&amp;b=1" TargetMode="External"/><Relationship Id="rId50" Type="http://schemas.openxmlformats.org/officeDocument/2006/relationships/hyperlink" Target="https://finviz.com/quote.ashx?t=LOW&amp;ty=c&amp;ta=1&amp;p=d&amp;b=1" TargetMode="External"/><Relationship Id="rId53" Type="http://schemas.openxmlformats.org/officeDocument/2006/relationships/hyperlink" Target="https://finviz.com/quote.ashx?t=UNH&amp;ty=c&amp;ta=1&amp;p=d&amp;b=1" TargetMode="External"/><Relationship Id="rId52" Type="http://schemas.openxmlformats.org/officeDocument/2006/relationships/hyperlink" Target="http://www.restorationhardware.com/" TargetMode="External"/><Relationship Id="rId55" Type="http://schemas.openxmlformats.org/officeDocument/2006/relationships/hyperlink" Target="https://finviz.com/quote.ashx?t=CUK&amp;ty=c&amp;ta=1&amp;p=d&amp;b=1" TargetMode="External"/><Relationship Id="rId54" Type="http://schemas.openxmlformats.org/officeDocument/2006/relationships/hyperlink" Target="https://finviz.com/quote.ashx?t=GO&amp;ty=c&amp;ta=1&amp;p=d&amp;b=1" TargetMode="External"/><Relationship Id="rId57" Type="http://schemas.openxmlformats.org/officeDocument/2006/relationships/hyperlink" Target="https://finviz.com/quote.ashx?t=KHC&amp;ty=c&amp;ta=1&amp;p=d&amp;b=1" TargetMode="External"/><Relationship Id="rId56" Type="http://schemas.openxmlformats.org/officeDocument/2006/relationships/hyperlink" Target="https://finviz.com/quote.ashx?t=SYY&amp;ty=c&amp;ta=1&amp;p=d&amp;b=1" TargetMode="External"/><Relationship Id="rId59" Type="http://schemas.openxmlformats.org/officeDocument/2006/relationships/hyperlink" Target="https://finviz.com/quote.ashx?t=MIDD&amp;ty=c&amp;ta=1&amp;p=d&amp;b=1" TargetMode="External"/><Relationship Id="rId58" Type="http://schemas.openxmlformats.org/officeDocument/2006/relationships/hyperlink" Target="https://finviz.com/quote.ashx?t=APO&amp;ty=c&amp;ta=1&amp;p=d&amp;b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3.13"/>
    <col customWidth="1" min="3" max="3" width="20.13"/>
    <col customWidth="1" min="4" max="4" width="15.25"/>
    <col customWidth="1" min="5" max="5" width="21.25"/>
    <col customWidth="1" min="6" max="6" width="9.75"/>
    <col customWidth="1" min="7" max="7" width="7.88"/>
    <col customWidth="1" min="8" max="8" width="6.25"/>
    <col customWidth="1" min="9" max="9" width="4.25"/>
    <col customWidth="1" min="10" max="10" width="13.38"/>
    <col customWidth="1" min="11" max="11" width="9.5"/>
    <col customWidth="1" min="12" max="12" width="10.88"/>
    <col customWidth="1" min="13" max="13" width="13.5"/>
  </cols>
  <sheetData>
    <row r="1">
      <c r="A1" s="1" t="s">
        <v>0</v>
      </c>
      <c r="B1" s="5" t="s">
        <v>12</v>
      </c>
      <c r="C1" s="2" t="s">
        <v>17</v>
      </c>
      <c r="D1" s="2" t="s">
        <v>19</v>
      </c>
      <c r="E1" s="2" t="s">
        <v>21</v>
      </c>
      <c r="F1" s="2" t="s">
        <v>22</v>
      </c>
      <c r="G1" s="2" t="s">
        <v>2</v>
      </c>
      <c r="H1" s="1" t="s">
        <v>11</v>
      </c>
      <c r="I1" s="1" t="s">
        <v>15</v>
      </c>
      <c r="J1" s="3" t="s">
        <v>8</v>
      </c>
      <c r="K1" s="2" t="s">
        <v>24</v>
      </c>
      <c r="L1" s="2" t="s">
        <v>25</v>
      </c>
    </row>
    <row r="2">
      <c r="A2" s="2" t="s">
        <v>26</v>
      </c>
      <c r="B2" s="5">
        <v>95.82</v>
      </c>
      <c r="C2" s="2">
        <v>124.45</v>
      </c>
      <c r="D2" s="1">
        <f t="shared" ref="D2:D25" si="1">((B2-C2)/C2)*100</f>
        <v>-23.00522298</v>
      </c>
      <c r="E2" s="1">
        <f t="shared" ref="E2:E9" si="2">MINUS(C2,B2)</f>
        <v>28.63</v>
      </c>
      <c r="K2" s="1">
        <f>sum(B2:B10)</f>
        <v>781.59</v>
      </c>
      <c r="L2" s="1">
        <f>SUM(C2:C9)</f>
        <v>1128.36</v>
      </c>
    </row>
    <row r="3">
      <c r="A3" s="2" t="s">
        <v>28</v>
      </c>
      <c r="B3" s="5">
        <v>19.71</v>
      </c>
      <c r="C3" s="2">
        <v>33.78</v>
      </c>
      <c r="D3" s="1">
        <f t="shared" si="1"/>
        <v>-41.65186501</v>
      </c>
      <c r="E3" s="1">
        <f t="shared" si="2"/>
        <v>14.07</v>
      </c>
    </row>
    <row r="4">
      <c r="A4" s="2" t="s">
        <v>29</v>
      </c>
      <c r="B4" s="5">
        <v>57.36</v>
      </c>
      <c r="C4" s="2">
        <v>70.52</v>
      </c>
      <c r="D4" s="1">
        <f t="shared" si="1"/>
        <v>-18.66137266</v>
      </c>
      <c r="E4" s="1">
        <f t="shared" si="2"/>
        <v>13.16</v>
      </c>
    </row>
    <row r="5">
      <c r="A5" s="2" t="s">
        <v>31</v>
      </c>
      <c r="B5" s="5">
        <v>243.0</v>
      </c>
      <c r="C5" s="2">
        <v>327.85</v>
      </c>
      <c r="D5" s="1">
        <f t="shared" si="1"/>
        <v>-25.88073814</v>
      </c>
      <c r="E5" s="1">
        <f t="shared" si="2"/>
        <v>84.85</v>
      </c>
    </row>
    <row r="6">
      <c r="A6" s="2" t="s">
        <v>33</v>
      </c>
      <c r="B6" s="5">
        <v>137.0</v>
      </c>
      <c r="C6" s="2">
        <v>190.0</v>
      </c>
      <c r="D6" s="1">
        <f t="shared" si="1"/>
        <v>-27.89473684</v>
      </c>
      <c r="E6" s="1">
        <f t="shared" si="2"/>
        <v>53</v>
      </c>
    </row>
    <row r="7">
      <c r="A7" s="2" t="s">
        <v>35</v>
      </c>
      <c r="B7" s="5">
        <v>90.8</v>
      </c>
      <c r="C7" s="2">
        <v>153.41</v>
      </c>
      <c r="D7" s="1">
        <f t="shared" si="1"/>
        <v>-40.81220259</v>
      </c>
      <c r="E7" s="1">
        <f t="shared" si="2"/>
        <v>62.61</v>
      </c>
    </row>
    <row r="8">
      <c r="A8" s="2" t="s">
        <v>36</v>
      </c>
      <c r="B8" s="5">
        <v>86.85</v>
      </c>
      <c r="C8" s="2">
        <v>141.1</v>
      </c>
      <c r="D8" s="1">
        <f t="shared" si="1"/>
        <v>-38.44790928</v>
      </c>
      <c r="E8" s="1">
        <f t="shared" si="2"/>
        <v>54.25</v>
      </c>
    </row>
    <row r="9">
      <c r="A9" s="2" t="s">
        <v>38</v>
      </c>
      <c r="B9" s="5">
        <v>51.05</v>
      </c>
      <c r="C9" s="2">
        <v>87.25</v>
      </c>
      <c r="D9" s="1">
        <f t="shared" si="1"/>
        <v>-41.48997135</v>
      </c>
      <c r="E9" s="1">
        <f t="shared" si="2"/>
        <v>36.2</v>
      </c>
    </row>
    <row r="10">
      <c r="B10" s="7"/>
      <c r="D10" s="1" t="str">
        <f t="shared" si="1"/>
        <v>#DIV/0!</v>
      </c>
    </row>
    <row r="11">
      <c r="B11" s="7"/>
      <c r="D11" s="1" t="str">
        <f t="shared" si="1"/>
        <v>#DIV/0!</v>
      </c>
    </row>
    <row r="12">
      <c r="B12" s="7"/>
      <c r="D12" s="1" t="str">
        <f t="shared" si="1"/>
        <v>#DIV/0!</v>
      </c>
    </row>
    <row r="13">
      <c r="B13" s="7"/>
      <c r="D13" s="1" t="str">
        <f t="shared" si="1"/>
        <v>#DIV/0!</v>
      </c>
    </row>
    <row r="14">
      <c r="B14" s="7"/>
      <c r="D14" s="1" t="str">
        <f t="shared" si="1"/>
        <v>#DIV/0!</v>
      </c>
    </row>
    <row r="15">
      <c r="B15" s="7"/>
      <c r="D15" s="1" t="str">
        <f t="shared" si="1"/>
        <v>#DIV/0!</v>
      </c>
    </row>
    <row r="16">
      <c r="B16" s="7"/>
      <c r="D16" s="1" t="str">
        <f t="shared" si="1"/>
        <v>#DIV/0!</v>
      </c>
    </row>
    <row r="17">
      <c r="B17" s="7"/>
      <c r="D17" s="1" t="str">
        <f t="shared" si="1"/>
        <v>#DIV/0!</v>
      </c>
    </row>
    <row r="18">
      <c r="B18" s="7"/>
      <c r="D18" s="1" t="str">
        <f t="shared" si="1"/>
        <v>#DIV/0!</v>
      </c>
    </row>
    <row r="19">
      <c r="B19" s="7"/>
      <c r="D19" s="1" t="str">
        <f t="shared" si="1"/>
        <v>#DIV/0!</v>
      </c>
    </row>
    <row r="20">
      <c r="B20" s="7"/>
      <c r="D20" s="1" t="str">
        <f t="shared" si="1"/>
        <v>#DIV/0!</v>
      </c>
    </row>
    <row r="21">
      <c r="B21" s="7"/>
      <c r="D21" s="1" t="str">
        <f t="shared" si="1"/>
        <v>#DIV/0!</v>
      </c>
    </row>
    <row r="22">
      <c r="B22" s="7"/>
      <c r="D22" s="1" t="str">
        <f t="shared" si="1"/>
        <v>#DIV/0!</v>
      </c>
    </row>
    <row r="23">
      <c r="B23" s="7"/>
      <c r="D23" s="1" t="str">
        <f t="shared" si="1"/>
        <v>#DIV/0!</v>
      </c>
    </row>
    <row r="24">
      <c r="B24" s="7"/>
      <c r="D24" s="1" t="str">
        <f t="shared" si="1"/>
        <v>#DIV/0!</v>
      </c>
    </row>
    <row r="25">
      <c r="B25" s="7"/>
      <c r="D25" s="1" t="str">
        <f t="shared" si="1"/>
        <v>#DIV/0!</v>
      </c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6.5"/>
    <col customWidth="1" min="3" max="3" width="6.13"/>
    <col customWidth="1" min="4" max="4" width="10.5"/>
    <col customWidth="1" min="5" max="5" width="10.38"/>
    <col customWidth="1" min="6" max="6" width="9.5"/>
    <col customWidth="1" min="7" max="7" width="9.25"/>
    <col customWidth="1" min="8" max="8" width="7.63"/>
    <col customWidth="1" min="9" max="9" width="5.38"/>
    <col customWidth="1" min="10" max="10" width="6.88"/>
    <col customWidth="1" min="11" max="11" width="6.0"/>
    <col customWidth="1" min="12" max="12" width="5.13"/>
    <col customWidth="1" min="13" max="13" width="4.75"/>
    <col customWidth="1" min="14" max="14" width="4.38"/>
    <col customWidth="1" min="15" max="15" width="10.5"/>
    <col customWidth="1" min="16" max="16" width="6.25"/>
    <col customWidth="1" min="17" max="17" width="7.38"/>
    <col customWidth="1" min="18" max="18" width="7.13"/>
    <col customWidth="1" min="19" max="19" width="10.75"/>
    <col customWidth="1" min="20" max="20" width="10.63"/>
    <col customWidth="1" min="21" max="27" width="7.63"/>
  </cols>
  <sheetData>
    <row r="1">
      <c r="A1" s="4" t="s">
        <v>7</v>
      </c>
      <c r="B1" s="4" t="s">
        <v>13</v>
      </c>
      <c r="C1" s="8" t="s">
        <v>14</v>
      </c>
      <c r="D1" s="4" t="s">
        <v>42</v>
      </c>
      <c r="E1" s="8" t="s">
        <v>43</v>
      </c>
      <c r="F1" s="4" t="s">
        <v>44</v>
      </c>
      <c r="G1" s="8" t="s">
        <v>45</v>
      </c>
      <c r="H1" s="8" t="s">
        <v>46</v>
      </c>
      <c r="I1" s="8" t="s">
        <v>48</v>
      </c>
      <c r="J1" s="8" t="s">
        <v>49</v>
      </c>
      <c r="K1" s="8" t="s">
        <v>50</v>
      </c>
      <c r="L1" s="8" t="s">
        <v>51</v>
      </c>
      <c r="M1" s="8" t="s">
        <v>52</v>
      </c>
      <c r="N1" s="8" t="s">
        <v>53</v>
      </c>
      <c r="O1" s="8" t="s">
        <v>54</v>
      </c>
      <c r="P1" s="8" t="s">
        <v>55</v>
      </c>
      <c r="Q1" s="8" t="s">
        <v>56</v>
      </c>
      <c r="R1" s="8" t="s">
        <v>57</v>
      </c>
      <c r="S1" s="8" t="s">
        <v>58</v>
      </c>
      <c r="T1" s="8"/>
      <c r="U1" s="8"/>
      <c r="V1" s="8"/>
      <c r="W1" s="8"/>
      <c r="X1" s="8"/>
      <c r="Y1" s="8"/>
      <c r="Z1" s="8"/>
      <c r="AA1" s="8"/>
    </row>
    <row r="2">
      <c r="A2" s="2" t="s">
        <v>59</v>
      </c>
      <c r="B2" s="2" t="s">
        <v>60</v>
      </c>
    </row>
    <row r="3">
      <c r="A3" s="2" t="s">
        <v>61</v>
      </c>
    </row>
    <row r="4">
      <c r="A4" s="2" t="s">
        <v>62</v>
      </c>
    </row>
    <row r="5">
      <c r="A5" s="2" t="s">
        <v>63</v>
      </c>
    </row>
    <row r="6">
      <c r="A6" s="2" t="s">
        <v>64</v>
      </c>
    </row>
    <row r="7">
      <c r="A7" s="2" t="s">
        <v>65</v>
      </c>
    </row>
    <row r="8">
      <c r="A8" s="2" t="s">
        <v>66</v>
      </c>
    </row>
    <row r="9">
      <c r="A9" s="2" t="s">
        <v>68</v>
      </c>
    </row>
    <row r="10">
      <c r="A10" s="2" t="s">
        <v>69</v>
      </c>
      <c r="B10" s="2" t="s">
        <v>70</v>
      </c>
    </row>
    <row r="11">
      <c r="A11" s="2" t="s">
        <v>71</v>
      </c>
    </row>
    <row r="12">
      <c r="A12" s="2" t="s">
        <v>72</v>
      </c>
    </row>
    <row r="13">
      <c r="A13" s="2" t="s">
        <v>73</v>
      </c>
    </row>
    <row r="14">
      <c r="A14" s="2" t="s">
        <v>74</v>
      </c>
      <c r="B14" s="2" t="s">
        <v>75</v>
      </c>
    </row>
    <row r="15">
      <c r="A15" s="2" t="s">
        <v>76</v>
      </c>
      <c r="B15" s="2" t="s">
        <v>77</v>
      </c>
    </row>
    <row r="16">
      <c r="A16" s="2" t="s">
        <v>78</v>
      </c>
      <c r="H16" s="2" t="s">
        <v>79</v>
      </c>
    </row>
    <row r="17">
      <c r="A17" s="2" t="s">
        <v>80</v>
      </c>
    </row>
    <row r="18">
      <c r="A18" s="2" t="s">
        <v>81</v>
      </c>
    </row>
    <row r="19">
      <c r="A19" s="2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7.0"/>
    <col customWidth="1" min="3" max="3" width="14.88"/>
    <col customWidth="1" min="4" max="4" width="6.5"/>
    <col customWidth="1" min="5" max="5" width="12.13"/>
    <col customWidth="1" min="6" max="6" width="7.63"/>
    <col customWidth="1" min="7" max="7" width="10.63"/>
    <col customWidth="1" min="8" max="8" width="6.38"/>
    <col customWidth="1" min="9" max="9" width="13.0"/>
    <col customWidth="1" min="10" max="10" width="10.0"/>
    <col customWidth="1" min="11" max="11" width="7.38"/>
    <col customWidth="1" min="12" max="12" width="5.13"/>
    <col customWidth="1" min="13" max="13" width="4.25"/>
    <col customWidth="1" min="14" max="14" width="8.13"/>
    <col customWidth="1" min="15" max="15" width="9.5"/>
    <col customWidth="1" min="16" max="16" width="14.88"/>
    <col customWidth="1" min="17" max="26" width="7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15</v>
      </c>
      <c r="N1" s="2" t="s">
        <v>16</v>
      </c>
      <c r="O1" s="2" t="s">
        <v>18</v>
      </c>
      <c r="P1" s="2" t="s">
        <v>20</v>
      </c>
    </row>
    <row r="2">
      <c r="A2" s="6" t="s">
        <v>23</v>
      </c>
      <c r="F2" s="1">
        <f t="shared" ref="F2:F99" si="1">E2-D2</f>
        <v>0</v>
      </c>
    </row>
    <row r="3">
      <c r="A3" s="6" t="s">
        <v>27</v>
      </c>
      <c r="F3" s="1">
        <f t="shared" si="1"/>
        <v>0</v>
      </c>
    </row>
    <row r="4">
      <c r="A4" s="6" t="s">
        <v>30</v>
      </c>
      <c r="B4" s="2" t="s">
        <v>32</v>
      </c>
      <c r="F4" s="1">
        <f t="shared" si="1"/>
        <v>0</v>
      </c>
    </row>
    <row r="5">
      <c r="A5" s="6" t="s">
        <v>34</v>
      </c>
      <c r="F5" s="1">
        <f t="shared" si="1"/>
        <v>0</v>
      </c>
    </row>
    <row r="6">
      <c r="A6" s="6" t="s">
        <v>37</v>
      </c>
      <c r="F6" s="1">
        <f t="shared" si="1"/>
        <v>0</v>
      </c>
    </row>
    <row r="7">
      <c r="A7" s="6" t="s">
        <v>39</v>
      </c>
      <c r="F7" s="1">
        <f t="shared" si="1"/>
        <v>0</v>
      </c>
    </row>
    <row r="8">
      <c r="A8" s="6" t="s">
        <v>40</v>
      </c>
      <c r="F8" s="1">
        <f t="shared" si="1"/>
        <v>0</v>
      </c>
    </row>
    <row r="9">
      <c r="A9" s="6" t="s">
        <v>41</v>
      </c>
      <c r="F9" s="1">
        <f t="shared" si="1"/>
        <v>0</v>
      </c>
    </row>
    <row r="10">
      <c r="A10" s="6" t="s">
        <v>47</v>
      </c>
      <c r="F10" s="1">
        <f t="shared" si="1"/>
        <v>0</v>
      </c>
    </row>
    <row r="11">
      <c r="A11" s="6" t="s">
        <v>67</v>
      </c>
      <c r="F11" s="1">
        <f t="shared" si="1"/>
        <v>0</v>
      </c>
    </row>
    <row r="12">
      <c r="A12" s="6" t="s">
        <v>82</v>
      </c>
      <c r="F12" s="1">
        <f t="shared" si="1"/>
        <v>0</v>
      </c>
    </row>
    <row r="13">
      <c r="A13" s="6" t="s">
        <v>84</v>
      </c>
      <c r="F13" s="1">
        <f t="shared" si="1"/>
        <v>0</v>
      </c>
      <c r="I13" s="2" t="s">
        <v>85</v>
      </c>
    </row>
    <row r="14">
      <c r="A14" s="6" t="s">
        <v>86</v>
      </c>
      <c r="B14" s="2" t="s">
        <v>32</v>
      </c>
      <c r="F14" s="1">
        <f t="shared" si="1"/>
        <v>0</v>
      </c>
    </row>
    <row r="15">
      <c r="A15" s="6" t="s">
        <v>87</v>
      </c>
      <c r="F15" s="1">
        <f t="shared" si="1"/>
        <v>0</v>
      </c>
    </row>
    <row r="16">
      <c r="A16" s="9" t="s">
        <v>88</v>
      </c>
      <c r="F16" s="1">
        <f t="shared" si="1"/>
        <v>0</v>
      </c>
    </row>
    <row r="17">
      <c r="A17" s="6" t="s">
        <v>89</v>
      </c>
      <c r="F17" s="1">
        <f t="shared" si="1"/>
        <v>0</v>
      </c>
    </row>
    <row r="18">
      <c r="A18" s="6" t="s">
        <v>90</v>
      </c>
      <c r="F18" s="1">
        <f t="shared" si="1"/>
        <v>0</v>
      </c>
    </row>
    <row r="19">
      <c r="A19" s="6" t="s">
        <v>91</v>
      </c>
      <c r="B19" s="2" t="s">
        <v>92</v>
      </c>
      <c r="F19" s="1">
        <f t="shared" si="1"/>
        <v>0</v>
      </c>
    </row>
    <row r="20">
      <c r="A20" s="6" t="s">
        <v>93</v>
      </c>
      <c r="F20" s="1">
        <f t="shared" si="1"/>
        <v>0</v>
      </c>
    </row>
    <row r="21" ht="15.75" customHeight="1">
      <c r="A21" s="6" t="s">
        <v>94</v>
      </c>
      <c r="F21" s="1">
        <f t="shared" si="1"/>
        <v>0</v>
      </c>
    </row>
    <row r="22" ht="15.75" customHeight="1">
      <c r="A22" s="6" t="s">
        <v>95</v>
      </c>
      <c r="F22" s="1">
        <f t="shared" si="1"/>
        <v>0</v>
      </c>
    </row>
    <row r="23" ht="15.75" customHeight="1">
      <c r="A23" s="6" t="s">
        <v>96</v>
      </c>
      <c r="F23" s="1">
        <f t="shared" si="1"/>
        <v>0</v>
      </c>
    </row>
    <row r="24" ht="15.75" customHeight="1">
      <c r="A24" s="6" t="s">
        <v>97</v>
      </c>
      <c r="F24" s="1">
        <f t="shared" si="1"/>
        <v>0</v>
      </c>
    </row>
    <row r="25" ht="15.75" customHeight="1">
      <c r="A25" s="6" t="s">
        <v>98</v>
      </c>
      <c r="F25" s="1">
        <f t="shared" si="1"/>
        <v>0</v>
      </c>
    </row>
    <row r="26" ht="15.75" customHeight="1">
      <c r="A26" s="6" t="s">
        <v>99</v>
      </c>
      <c r="F26" s="1">
        <f t="shared" si="1"/>
        <v>0</v>
      </c>
    </row>
    <row r="27" ht="15.75" customHeight="1">
      <c r="A27" s="6" t="s">
        <v>100</v>
      </c>
      <c r="F27" s="1">
        <f t="shared" si="1"/>
        <v>0</v>
      </c>
    </row>
    <row r="28" ht="15.75" customHeight="1">
      <c r="A28" s="6" t="s">
        <v>101</v>
      </c>
      <c r="F28" s="1">
        <f t="shared" si="1"/>
        <v>0</v>
      </c>
    </row>
    <row r="29" ht="15.75" customHeight="1">
      <c r="A29" s="6" t="s">
        <v>113</v>
      </c>
      <c r="F29" s="1">
        <f t="shared" si="1"/>
        <v>0</v>
      </c>
    </row>
    <row r="30" ht="15.75" customHeight="1">
      <c r="A30" s="6" t="s">
        <v>114</v>
      </c>
      <c r="F30" s="1">
        <f t="shared" si="1"/>
        <v>0</v>
      </c>
    </row>
    <row r="31" ht="15.75" customHeight="1">
      <c r="A31" s="6" t="s">
        <v>118</v>
      </c>
      <c r="F31" s="1">
        <f t="shared" si="1"/>
        <v>0</v>
      </c>
    </row>
    <row r="32" ht="15.75" customHeight="1">
      <c r="A32" s="6" t="s">
        <v>122</v>
      </c>
      <c r="F32" s="1">
        <f t="shared" si="1"/>
        <v>0</v>
      </c>
    </row>
    <row r="33" ht="15.75" customHeight="1">
      <c r="A33" s="6" t="s">
        <v>124</v>
      </c>
      <c r="F33" s="1">
        <f t="shared" si="1"/>
        <v>0</v>
      </c>
    </row>
    <row r="34" ht="15.75" customHeight="1">
      <c r="A34" s="6" t="s">
        <v>125</v>
      </c>
      <c r="F34" s="1">
        <f t="shared" si="1"/>
        <v>0</v>
      </c>
    </row>
    <row r="35" ht="15.75" customHeight="1">
      <c r="A35" s="6" t="s">
        <v>36</v>
      </c>
      <c r="B35" s="11" t="s">
        <v>126</v>
      </c>
      <c r="C35" s="2"/>
      <c r="F35" s="1">
        <f t="shared" si="1"/>
        <v>0</v>
      </c>
    </row>
    <row r="36" ht="15.75" customHeight="1">
      <c r="A36" s="6" t="s">
        <v>127</v>
      </c>
      <c r="B36" s="11" t="s">
        <v>126</v>
      </c>
      <c r="F36" s="1">
        <f t="shared" si="1"/>
        <v>0</v>
      </c>
    </row>
    <row r="37" ht="15.75" customHeight="1">
      <c r="A37" s="6" t="s">
        <v>128</v>
      </c>
      <c r="F37" s="1">
        <f t="shared" si="1"/>
        <v>0</v>
      </c>
    </row>
    <row r="38" ht="15.75" customHeight="1">
      <c r="A38" s="6" t="s">
        <v>129</v>
      </c>
      <c r="F38" s="1">
        <f t="shared" si="1"/>
        <v>0</v>
      </c>
    </row>
    <row r="39" ht="15.75" customHeight="1">
      <c r="A39" s="6" t="s">
        <v>130</v>
      </c>
      <c r="F39" s="1">
        <f t="shared" si="1"/>
        <v>0</v>
      </c>
    </row>
    <row r="40" ht="15.75" customHeight="1">
      <c r="A40" s="6" t="s">
        <v>131</v>
      </c>
      <c r="F40" s="1">
        <f t="shared" si="1"/>
        <v>0</v>
      </c>
    </row>
    <row r="41" ht="15.75" customHeight="1">
      <c r="A41" s="6" t="s">
        <v>132</v>
      </c>
      <c r="F41" s="1">
        <f t="shared" si="1"/>
        <v>0</v>
      </c>
    </row>
    <row r="42" ht="15.75" customHeight="1">
      <c r="A42" s="6" t="s">
        <v>133</v>
      </c>
      <c r="F42" s="1">
        <f t="shared" si="1"/>
        <v>0</v>
      </c>
    </row>
    <row r="43" ht="15.75" customHeight="1">
      <c r="A43" s="6" t="s">
        <v>134</v>
      </c>
      <c r="F43" s="1">
        <f t="shared" si="1"/>
        <v>0</v>
      </c>
    </row>
    <row r="44" ht="15.75" customHeight="1">
      <c r="A44" s="6" t="s">
        <v>38</v>
      </c>
      <c r="F44" s="1">
        <f t="shared" si="1"/>
        <v>0</v>
      </c>
    </row>
    <row r="45" ht="15.75" customHeight="1">
      <c r="A45" s="6" t="s">
        <v>135</v>
      </c>
      <c r="F45" s="1">
        <f t="shared" si="1"/>
        <v>0</v>
      </c>
    </row>
    <row r="46" ht="15.75" customHeight="1">
      <c r="A46" s="6" t="s">
        <v>136</v>
      </c>
      <c r="F46" s="1">
        <f t="shared" si="1"/>
        <v>0</v>
      </c>
    </row>
    <row r="47" ht="15.75" customHeight="1">
      <c r="A47" s="6" t="s">
        <v>137</v>
      </c>
      <c r="F47" s="1">
        <f t="shared" si="1"/>
        <v>0</v>
      </c>
    </row>
    <row r="48" ht="15.75" customHeight="1">
      <c r="A48" s="6" t="s">
        <v>138</v>
      </c>
      <c r="F48" s="1">
        <f t="shared" si="1"/>
        <v>0</v>
      </c>
    </row>
    <row r="49" ht="15.75" customHeight="1">
      <c r="A49" s="6" t="s">
        <v>139</v>
      </c>
      <c r="F49" s="1">
        <f t="shared" si="1"/>
        <v>0</v>
      </c>
    </row>
    <row r="50" ht="15.75" customHeight="1">
      <c r="A50" s="6" t="s">
        <v>140</v>
      </c>
      <c r="F50" s="1">
        <f t="shared" si="1"/>
        <v>0</v>
      </c>
    </row>
    <row r="51" ht="15.75" customHeight="1">
      <c r="A51" s="6" t="s">
        <v>141</v>
      </c>
      <c r="F51" s="1">
        <f t="shared" si="1"/>
        <v>0</v>
      </c>
    </row>
    <row r="52" ht="15.75" customHeight="1">
      <c r="A52" s="6" t="s">
        <v>142</v>
      </c>
      <c r="F52" s="1">
        <f t="shared" si="1"/>
        <v>0</v>
      </c>
    </row>
    <row r="53" ht="15.75" customHeight="1">
      <c r="A53" s="12" t="s">
        <v>143</v>
      </c>
      <c r="F53" s="1">
        <f t="shared" si="1"/>
        <v>0</v>
      </c>
    </row>
    <row r="54" ht="15.75" customHeight="1">
      <c r="A54" s="6" t="s">
        <v>159</v>
      </c>
      <c r="F54" s="1">
        <f t="shared" si="1"/>
        <v>0</v>
      </c>
    </row>
    <row r="55" ht="15.75" customHeight="1">
      <c r="A55" s="6" t="s">
        <v>166</v>
      </c>
      <c r="F55" s="1">
        <f t="shared" si="1"/>
        <v>0</v>
      </c>
    </row>
    <row r="56" ht="15.75" customHeight="1">
      <c r="A56" s="6" t="s">
        <v>167</v>
      </c>
      <c r="F56" s="1">
        <f t="shared" si="1"/>
        <v>0</v>
      </c>
    </row>
    <row r="57" ht="15.75" customHeight="1">
      <c r="A57" s="6" t="s">
        <v>168</v>
      </c>
      <c r="F57" s="1">
        <f t="shared" si="1"/>
        <v>0</v>
      </c>
    </row>
    <row r="58" ht="15.75" customHeight="1">
      <c r="A58" s="6" t="s">
        <v>169</v>
      </c>
      <c r="F58" s="1">
        <f t="shared" si="1"/>
        <v>0</v>
      </c>
    </row>
    <row r="59" ht="15.75" customHeight="1">
      <c r="A59" s="6" t="s">
        <v>170</v>
      </c>
      <c r="F59" s="1">
        <f t="shared" si="1"/>
        <v>0</v>
      </c>
    </row>
    <row r="60" ht="15.75" customHeight="1">
      <c r="A60" s="6" t="s">
        <v>171</v>
      </c>
      <c r="F60" s="1">
        <f t="shared" si="1"/>
        <v>0</v>
      </c>
    </row>
    <row r="61" ht="15.75" customHeight="1">
      <c r="A61" s="6" t="s">
        <v>172</v>
      </c>
      <c r="F61" s="1">
        <f t="shared" si="1"/>
        <v>0</v>
      </c>
    </row>
    <row r="62" ht="15.75" customHeight="1">
      <c r="A62" s="6" t="s">
        <v>182</v>
      </c>
      <c r="F62" s="1">
        <f t="shared" si="1"/>
        <v>0</v>
      </c>
    </row>
    <row r="63" ht="15.75" customHeight="1">
      <c r="A63" s="6" t="s">
        <v>191</v>
      </c>
      <c r="F63" s="1">
        <f t="shared" si="1"/>
        <v>0</v>
      </c>
    </row>
    <row r="64" ht="15.75" customHeight="1">
      <c r="A64" s="6" t="s">
        <v>192</v>
      </c>
      <c r="F64" s="1">
        <f t="shared" si="1"/>
        <v>0</v>
      </c>
    </row>
    <row r="65" ht="15.75" customHeight="1">
      <c r="A65" s="6" t="s">
        <v>193</v>
      </c>
      <c r="F65" s="1">
        <f t="shared" si="1"/>
        <v>0</v>
      </c>
    </row>
    <row r="66" ht="15.75" customHeight="1">
      <c r="A66" s="6" t="s">
        <v>195</v>
      </c>
      <c r="F66" s="1">
        <f t="shared" si="1"/>
        <v>0</v>
      </c>
    </row>
    <row r="67" ht="15.75" customHeight="1">
      <c r="A67" s="6" t="s">
        <v>196</v>
      </c>
      <c r="F67" s="1">
        <f t="shared" si="1"/>
        <v>0</v>
      </c>
    </row>
    <row r="68" ht="15.75" customHeight="1">
      <c r="A68" s="6" t="s">
        <v>197</v>
      </c>
      <c r="F68" s="1">
        <f t="shared" si="1"/>
        <v>0</v>
      </c>
    </row>
    <row r="69" ht="15.75" customHeight="1">
      <c r="A69" s="6" t="s">
        <v>200</v>
      </c>
      <c r="F69" s="1">
        <f t="shared" si="1"/>
        <v>0</v>
      </c>
    </row>
    <row r="70" ht="15.75" customHeight="1">
      <c r="A70" s="6" t="s">
        <v>201</v>
      </c>
      <c r="F70" s="1">
        <f t="shared" si="1"/>
        <v>0</v>
      </c>
    </row>
    <row r="71" ht="15.75" customHeight="1">
      <c r="A71" s="6" t="s">
        <v>202</v>
      </c>
      <c r="F71" s="1">
        <f t="shared" si="1"/>
        <v>0</v>
      </c>
    </row>
    <row r="72" ht="15.75" customHeight="1">
      <c r="A72" s="6" t="s">
        <v>203</v>
      </c>
      <c r="F72" s="1">
        <f t="shared" si="1"/>
        <v>0</v>
      </c>
    </row>
    <row r="73" ht="15.75" customHeight="1">
      <c r="A73" s="6" t="s">
        <v>204</v>
      </c>
      <c r="F73" s="1">
        <f t="shared" si="1"/>
        <v>0</v>
      </c>
    </row>
    <row r="74" ht="15.75" customHeight="1">
      <c r="A74" s="6" t="s">
        <v>205</v>
      </c>
      <c r="F74" s="1">
        <f t="shared" si="1"/>
        <v>0</v>
      </c>
    </row>
    <row r="75" ht="15.75" customHeight="1">
      <c r="A75" s="6" t="s">
        <v>206</v>
      </c>
      <c r="F75" s="1">
        <f t="shared" si="1"/>
        <v>0</v>
      </c>
    </row>
    <row r="76" ht="15.75" customHeight="1">
      <c r="A76" s="6" t="s">
        <v>207</v>
      </c>
      <c r="F76" s="1">
        <f t="shared" si="1"/>
        <v>0</v>
      </c>
    </row>
    <row r="77" ht="15.75" customHeight="1">
      <c r="A77" s="6" t="s">
        <v>208</v>
      </c>
      <c r="F77" s="1">
        <f t="shared" si="1"/>
        <v>0</v>
      </c>
    </row>
    <row r="78" ht="15.75" customHeight="1">
      <c r="A78" s="6" t="s">
        <v>209</v>
      </c>
      <c r="F78" s="1">
        <f t="shared" si="1"/>
        <v>0</v>
      </c>
    </row>
    <row r="79" ht="15.75" customHeight="1">
      <c r="A79" s="6" t="s">
        <v>210</v>
      </c>
      <c r="F79" s="1">
        <f t="shared" si="1"/>
        <v>0</v>
      </c>
    </row>
    <row r="80" ht="15.75" customHeight="1">
      <c r="A80" s="6" t="s">
        <v>211</v>
      </c>
      <c r="F80" s="1">
        <f t="shared" si="1"/>
        <v>0</v>
      </c>
    </row>
    <row r="81" ht="15.75" customHeight="1">
      <c r="A81" s="6" t="s">
        <v>212</v>
      </c>
      <c r="F81" s="1">
        <f t="shared" si="1"/>
        <v>0</v>
      </c>
    </row>
    <row r="82" ht="15.75" customHeight="1">
      <c r="A82" s="6" t="s">
        <v>213</v>
      </c>
      <c r="F82" s="1">
        <f t="shared" si="1"/>
        <v>0</v>
      </c>
    </row>
    <row r="83" ht="15.75" customHeight="1">
      <c r="A83" s="6" t="s">
        <v>214</v>
      </c>
      <c r="F83" s="1">
        <f t="shared" si="1"/>
        <v>0</v>
      </c>
    </row>
    <row r="84" ht="15.75" customHeight="1">
      <c r="A84" s="6" t="s">
        <v>215</v>
      </c>
      <c r="F84" s="1">
        <f t="shared" si="1"/>
        <v>0</v>
      </c>
    </row>
    <row r="85" ht="15.75" customHeight="1">
      <c r="A85" s="6" t="s">
        <v>216</v>
      </c>
      <c r="F85" s="1">
        <f t="shared" si="1"/>
        <v>0</v>
      </c>
    </row>
    <row r="86" ht="15.75" customHeight="1">
      <c r="A86" s="6" t="s">
        <v>217</v>
      </c>
      <c r="F86" s="1">
        <f t="shared" si="1"/>
        <v>0</v>
      </c>
    </row>
    <row r="87" ht="15.75" customHeight="1">
      <c r="A87" s="6" t="s">
        <v>218</v>
      </c>
      <c r="F87" s="1">
        <f t="shared" si="1"/>
        <v>0</v>
      </c>
    </row>
    <row r="88" ht="15.75" customHeight="1">
      <c r="A88" s="6" t="s">
        <v>219</v>
      </c>
      <c r="F88" s="1">
        <f t="shared" si="1"/>
        <v>0</v>
      </c>
    </row>
    <row r="89" ht="15.75" customHeight="1">
      <c r="A89" s="6" t="s">
        <v>220</v>
      </c>
      <c r="F89" s="1">
        <f t="shared" si="1"/>
        <v>0</v>
      </c>
    </row>
    <row r="90" ht="15.75" customHeight="1">
      <c r="A90" s="6" t="s">
        <v>221</v>
      </c>
      <c r="F90" s="1">
        <f t="shared" si="1"/>
        <v>0</v>
      </c>
    </row>
    <row r="91" ht="15.75" customHeight="1">
      <c r="A91" s="6" t="s">
        <v>222</v>
      </c>
      <c r="F91" s="1">
        <f t="shared" si="1"/>
        <v>0</v>
      </c>
    </row>
    <row r="92" ht="15.75" customHeight="1">
      <c r="A92" s="6" t="s">
        <v>223</v>
      </c>
      <c r="F92" s="1">
        <f t="shared" si="1"/>
        <v>0</v>
      </c>
    </row>
    <row r="93" ht="15.75" customHeight="1">
      <c r="A93" s="6" t="s">
        <v>224</v>
      </c>
      <c r="F93" s="1">
        <f t="shared" si="1"/>
        <v>0</v>
      </c>
    </row>
    <row r="94" ht="15.75" customHeight="1">
      <c r="A94" s="6" t="s">
        <v>225</v>
      </c>
      <c r="F94" s="1">
        <f t="shared" si="1"/>
        <v>0</v>
      </c>
    </row>
    <row r="95" ht="15.75" customHeight="1">
      <c r="A95" s="6" t="s">
        <v>226</v>
      </c>
      <c r="F95" s="1">
        <f t="shared" si="1"/>
        <v>0</v>
      </c>
    </row>
    <row r="96" ht="15.75" customHeight="1">
      <c r="A96" s="6" t="s">
        <v>227</v>
      </c>
      <c r="F96" s="1">
        <f t="shared" si="1"/>
        <v>0</v>
      </c>
    </row>
    <row r="97" ht="15.75" customHeight="1">
      <c r="A97" s="6" t="s">
        <v>27</v>
      </c>
      <c r="F97" s="1">
        <f t="shared" si="1"/>
        <v>0</v>
      </c>
    </row>
    <row r="98" ht="15.75" customHeight="1">
      <c r="A98" s="6" t="s">
        <v>228</v>
      </c>
      <c r="F98" s="1">
        <f t="shared" si="1"/>
        <v>0</v>
      </c>
    </row>
    <row r="99" ht="15.75" customHeight="1">
      <c r="A99" s="6" t="s">
        <v>229</v>
      </c>
      <c r="F99" s="1">
        <f t="shared" si="1"/>
        <v>0</v>
      </c>
    </row>
    <row r="100" ht="15.75" customHeight="1">
      <c r="A100" s="6" t="s">
        <v>230</v>
      </c>
    </row>
    <row r="101" ht="15.75" customHeight="1">
      <c r="A101" s="6" t="s">
        <v>231</v>
      </c>
    </row>
    <row r="102" ht="15.75" customHeight="1">
      <c r="A102" s="6" t="s">
        <v>232</v>
      </c>
    </row>
    <row r="103" ht="15.75" customHeight="1">
      <c r="A103" s="9" t="s">
        <v>233</v>
      </c>
    </row>
    <row r="104" ht="15.75" customHeight="1">
      <c r="A104" s="6" t="s">
        <v>234</v>
      </c>
    </row>
    <row r="105" ht="15.75" customHeight="1">
      <c r="A105" s="6" t="s">
        <v>235</v>
      </c>
    </row>
    <row r="106" ht="15.75" customHeight="1">
      <c r="A106" s="6" t="s">
        <v>236</v>
      </c>
    </row>
    <row r="107" ht="15.75" customHeight="1">
      <c r="A107" s="6" t="s">
        <v>237</v>
      </c>
    </row>
    <row r="108" ht="15.75" customHeight="1">
      <c r="A108" s="6" t="s">
        <v>238</v>
      </c>
    </row>
    <row r="109" ht="15.75" customHeight="1">
      <c r="A109" s="6" t="s">
        <v>239</v>
      </c>
    </row>
    <row r="110" ht="15.75" customHeight="1">
      <c r="A110" s="6" t="s">
        <v>240</v>
      </c>
    </row>
    <row r="111" ht="15.75" customHeight="1">
      <c r="A111" s="6" t="s">
        <v>241</v>
      </c>
      <c r="B111" s="2" t="s">
        <v>32</v>
      </c>
    </row>
    <row r="112" ht="15.75" customHeight="1">
      <c r="A112" s="6" t="s">
        <v>242</v>
      </c>
    </row>
    <row r="113" ht="15.75" customHeight="1">
      <c r="A113" s="6" t="s">
        <v>243</v>
      </c>
    </row>
    <row r="114" ht="15.75" customHeight="1">
      <c r="A114" s="6" t="s">
        <v>244</v>
      </c>
      <c r="B114" s="2" t="s">
        <v>32</v>
      </c>
    </row>
    <row r="115" ht="15.75" customHeight="1">
      <c r="A115" s="6" t="s">
        <v>245</v>
      </c>
      <c r="B115" s="2" t="s">
        <v>32</v>
      </c>
    </row>
    <row r="116" ht="15.75" customHeight="1">
      <c r="A116" s="6" t="s">
        <v>246</v>
      </c>
    </row>
    <row r="117" ht="15.75" customHeight="1">
      <c r="A117" s="6" t="s">
        <v>247</v>
      </c>
    </row>
    <row r="118" ht="15.75" customHeight="1">
      <c r="A118" s="6" t="s">
        <v>248</v>
      </c>
      <c r="C118" s="15" t="s">
        <v>249</v>
      </c>
    </row>
    <row r="119" ht="15.75" customHeight="1">
      <c r="A119" s="6" t="s">
        <v>250</v>
      </c>
      <c r="C119" s="15" t="s">
        <v>249</v>
      </c>
    </row>
    <row r="120" ht="15.75" customHeight="1">
      <c r="A120" s="6" t="s">
        <v>251</v>
      </c>
      <c r="B120" s="2" t="s">
        <v>32</v>
      </c>
    </row>
    <row r="121" ht="15.75" customHeight="1">
      <c r="A121" s="6" t="s">
        <v>252</v>
      </c>
      <c r="B121" s="2" t="s">
        <v>32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C118"/>
    <hyperlink r:id="rId119" ref="A119"/>
    <hyperlink r:id="rId120" ref="C119"/>
    <hyperlink r:id="rId121" ref="A120"/>
    <hyperlink r:id="rId122" ref="A121"/>
  </hyperlinks>
  <printOptions/>
  <pageMargins bottom="0.75" footer="0.0" header="0.0" left="0.7" right="0.7" top="0.75"/>
  <pageSetup orientation="portrait"/>
  <drawing r:id="rId1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0.13"/>
    <col customWidth="1" min="3" max="3" width="5.88"/>
    <col customWidth="1" min="4" max="4" width="9.38"/>
    <col customWidth="1" min="5" max="5" width="10.25"/>
    <col customWidth="1" min="6" max="6" width="8.88"/>
    <col customWidth="1" min="7" max="7" width="8.25"/>
    <col customWidth="1" min="8" max="8" width="10.75"/>
    <col customWidth="1" min="9" max="9" width="5.75"/>
    <col customWidth="1" min="10" max="10" width="11.38"/>
    <col customWidth="1" min="11" max="11" width="7.63"/>
    <col customWidth="1" min="12" max="12" width="9.25"/>
    <col customWidth="1" min="13" max="13" width="9.75"/>
    <col customWidth="1" min="14" max="14" width="5.38"/>
    <col customWidth="1" min="15" max="15" width="6.25"/>
    <col customWidth="1" min="16" max="16" width="5.63"/>
    <col customWidth="1" min="17" max="17" width="10.88"/>
    <col customWidth="1" min="18" max="26" width="7.63"/>
  </cols>
  <sheetData>
    <row r="1">
      <c r="A1" s="3" t="s">
        <v>102</v>
      </c>
      <c r="C1" s="1" t="s">
        <v>103</v>
      </c>
      <c r="I1" s="1" t="s">
        <v>104</v>
      </c>
    </row>
    <row r="2">
      <c r="A2" s="3" t="s">
        <v>105</v>
      </c>
      <c r="B2" s="3" t="s">
        <v>106</v>
      </c>
      <c r="C2" s="3" t="s">
        <v>107</v>
      </c>
      <c r="D2" s="3" t="s">
        <v>108</v>
      </c>
      <c r="E2" s="3" t="s">
        <v>43</v>
      </c>
      <c r="F2" s="3" t="s">
        <v>45</v>
      </c>
      <c r="G2" s="3" t="s">
        <v>53</v>
      </c>
      <c r="H2" s="3" t="s">
        <v>54</v>
      </c>
      <c r="I2" s="3" t="s">
        <v>109</v>
      </c>
      <c r="J2" s="3" t="s">
        <v>55</v>
      </c>
      <c r="K2" s="3" t="s">
        <v>56</v>
      </c>
      <c r="L2" s="3" t="s">
        <v>46</v>
      </c>
      <c r="M2" s="3" t="s">
        <v>110</v>
      </c>
      <c r="N2" s="3" t="s">
        <v>48</v>
      </c>
      <c r="O2" s="3" t="s">
        <v>49</v>
      </c>
      <c r="P2" s="3" t="s">
        <v>50</v>
      </c>
      <c r="Q2" s="3" t="s">
        <v>58</v>
      </c>
      <c r="R2" s="3" t="s">
        <v>57</v>
      </c>
      <c r="S2" s="3"/>
      <c r="T2" s="3"/>
      <c r="U2" s="3"/>
      <c r="V2" s="3"/>
      <c r="W2" s="3"/>
      <c r="X2" s="3"/>
      <c r="Y2" s="3"/>
      <c r="Z2" s="3"/>
    </row>
    <row r="3">
      <c r="A3" s="1" t="s">
        <v>111</v>
      </c>
      <c r="B3" s="1" t="s">
        <v>112</v>
      </c>
      <c r="C3" s="1">
        <v>-36.0</v>
      </c>
      <c r="D3" s="1">
        <v>4.18</v>
      </c>
      <c r="E3" s="1">
        <v>5.08</v>
      </c>
      <c r="F3" s="1">
        <f t="shared" ref="F3:F50" si="1">(E3-D3)/E3*100</f>
        <v>17.71653543</v>
      </c>
      <c r="G3" s="10">
        <v>43378.0</v>
      </c>
      <c r="H3" s="1">
        <v>28.0</v>
      </c>
      <c r="I3" s="1">
        <v>12.0</v>
      </c>
      <c r="J3" s="1">
        <v>29.0</v>
      </c>
      <c r="K3" s="1">
        <f t="shared" ref="K3:K50" si="2">(J3-H3)/J3*100</f>
        <v>3.448275862</v>
      </c>
      <c r="L3" s="1">
        <v>14.0</v>
      </c>
      <c r="M3" s="1">
        <f t="shared" ref="M3:M5" si="3">(L3-E3)/2</f>
        <v>4.46</v>
      </c>
      <c r="N3" s="1">
        <v>4.5</v>
      </c>
      <c r="O3" s="1">
        <v>5.21</v>
      </c>
      <c r="P3" s="1" t="s">
        <v>115</v>
      </c>
      <c r="Q3" s="3">
        <v>5.88</v>
      </c>
      <c r="R3" s="1" t="s">
        <v>116</v>
      </c>
    </row>
    <row r="4">
      <c r="A4" s="1" t="s">
        <v>117</v>
      </c>
      <c r="B4" s="1" t="s">
        <v>112</v>
      </c>
      <c r="C4" s="1">
        <v>-21.0</v>
      </c>
      <c r="D4" s="1">
        <v>2.66</v>
      </c>
      <c r="E4" s="1">
        <v>3.37</v>
      </c>
      <c r="F4" s="1">
        <f t="shared" si="1"/>
        <v>21.06824926</v>
      </c>
      <c r="G4" s="10">
        <v>43377.0</v>
      </c>
      <c r="H4" s="1">
        <v>5.8</v>
      </c>
      <c r="I4" s="1">
        <v>1.9</v>
      </c>
      <c r="J4" s="1">
        <v>26.0</v>
      </c>
      <c r="K4" s="1">
        <f t="shared" si="2"/>
        <v>77.69230769</v>
      </c>
      <c r="L4" s="1">
        <v>6.09</v>
      </c>
      <c r="M4" s="1">
        <f t="shared" si="3"/>
        <v>1.36</v>
      </c>
      <c r="O4" s="1">
        <v>4.14</v>
      </c>
      <c r="P4" s="1" t="s">
        <v>119</v>
      </c>
    </row>
    <row r="5">
      <c r="A5" s="1" t="s">
        <v>120</v>
      </c>
      <c r="B5" s="1" t="s">
        <v>112</v>
      </c>
      <c r="C5" s="1">
        <v>-13.0</v>
      </c>
      <c r="D5" s="1">
        <v>1.51</v>
      </c>
      <c r="E5" s="1">
        <v>1.62</v>
      </c>
      <c r="F5" s="1">
        <f t="shared" si="1"/>
        <v>6.790123457</v>
      </c>
      <c r="G5" s="10">
        <v>43377.0</v>
      </c>
      <c r="H5" s="1">
        <v>18.0</v>
      </c>
      <c r="I5" s="1">
        <v>5.62</v>
      </c>
      <c r="J5" s="1">
        <v>17.0</v>
      </c>
      <c r="K5" s="1">
        <f t="shared" si="2"/>
        <v>-5.882352941</v>
      </c>
      <c r="L5" s="1">
        <v>3.74</v>
      </c>
      <c r="M5" s="1">
        <f t="shared" si="3"/>
        <v>1.06</v>
      </c>
      <c r="N5" s="1">
        <v>1.84</v>
      </c>
      <c r="P5" s="1" t="s">
        <v>115</v>
      </c>
    </row>
    <row r="6">
      <c r="A6" s="1" t="s">
        <v>121</v>
      </c>
      <c r="B6" s="1" t="s">
        <v>112</v>
      </c>
      <c r="C6" s="1">
        <v>-15.0</v>
      </c>
      <c r="D6" s="1">
        <v>251.0</v>
      </c>
      <c r="E6" s="1">
        <v>255.0</v>
      </c>
      <c r="F6" s="1">
        <f t="shared" si="1"/>
        <v>1.568627451</v>
      </c>
      <c r="G6" s="10">
        <v>43380.0</v>
      </c>
      <c r="H6" s="1">
        <v>3.0</v>
      </c>
      <c r="I6" s="1">
        <v>0.694</v>
      </c>
      <c r="K6" s="1" t="str">
        <f t="shared" si="2"/>
        <v>#DIV/0!</v>
      </c>
      <c r="L6" s="1">
        <v>308.0</v>
      </c>
      <c r="M6" s="1">
        <f t="shared" ref="M6:M50" si="4">(L6-D6)/2</f>
        <v>28.5</v>
      </c>
      <c r="Q6" s="1">
        <v>255.0</v>
      </c>
    </row>
    <row r="7">
      <c r="A7" s="1" t="s">
        <v>123</v>
      </c>
      <c r="F7" s="1" t="str">
        <f t="shared" si="1"/>
        <v>#DIV/0!</v>
      </c>
      <c r="K7" s="1" t="str">
        <f t="shared" si="2"/>
        <v>#DIV/0!</v>
      </c>
      <c r="M7" s="1">
        <f t="shared" si="4"/>
        <v>0</v>
      </c>
    </row>
    <row r="8">
      <c r="F8" s="1" t="str">
        <f t="shared" si="1"/>
        <v>#DIV/0!</v>
      </c>
      <c r="K8" s="1" t="str">
        <f t="shared" si="2"/>
        <v>#DIV/0!</v>
      </c>
      <c r="M8" s="1">
        <f t="shared" si="4"/>
        <v>0</v>
      </c>
    </row>
    <row r="9">
      <c r="F9" s="1" t="str">
        <f t="shared" si="1"/>
        <v>#DIV/0!</v>
      </c>
      <c r="K9" s="1" t="str">
        <f t="shared" si="2"/>
        <v>#DIV/0!</v>
      </c>
      <c r="M9" s="1">
        <f t="shared" si="4"/>
        <v>0</v>
      </c>
    </row>
    <row r="10">
      <c r="F10" s="1" t="str">
        <f t="shared" si="1"/>
        <v>#DIV/0!</v>
      </c>
      <c r="K10" s="1" t="str">
        <f t="shared" si="2"/>
        <v>#DIV/0!</v>
      </c>
      <c r="M10" s="1">
        <f t="shared" si="4"/>
        <v>0</v>
      </c>
    </row>
    <row r="11">
      <c r="F11" s="1" t="str">
        <f t="shared" si="1"/>
        <v>#DIV/0!</v>
      </c>
      <c r="K11" s="1" t="str">
        <f t="shared" si="2"/>
        <v>#DIV/0!</v>
      </c>
      <c r="M11" s="1">
        <f t="shared" si="4"/>
        <v>0</v>
      </c>
    </row>
    <row r="12">
      <c r="F12" s="1" t="str">
        <f t="shared" si="1"/>
        <v>#DIV/0!</v>
      </c>
      <c r="K12" s="1" t="str">
        <f t="shared" si="2"/>
        <v>#DIV/0!</v>
      </c>
      <c r="M12" s="1">
        <f t="shared" si="4"/>
        <v>0</v>
      </c>
    </row>
    <row r="13">
      <c r="F13" s="1" t="str">
        <f t="shared" si="1"/>
        <v>#DIV/0!</v>
      </c>
      <c r="K13" s="1" t="str">
        <f t="shared" si="2"/>
        <v>#DIV/0!</v>
      </c>
      <c r="M13" s="1">
        <f t="shared" si="4"/>
        <v>0</v>
      </c>
    </row>
    <row r="14">
      <c r="F14" s="1" t="str">
        <f t="shared" si="1"/>
        <v>#DIV/0!</v>
      </c>
      <c r="K14" s="1" t="str">
        <f t="shared" si="2"/>
        <v>#DIV/0!</v>
      </c>
      <c r="M14" s="1">
        <f t="shared" si="4"/>
        <v>0</v>
      </c>
    </row>
    <row r="15">
      <c r="F15" s="1" t="str">
        <f t="shared" si="1"/>
        <v>#DIV/0!</v>
      </c>
      <c r="K15" s="1" t="str">
        <f t="shared" si="2"/>
        <v>#DIV/0!</v>
      </c>
      <c r="M15" s="1">
        <f t="shared" si="4"/>
        <v>0</v>
      </c>
    </row>
    <row r="16">
      <c r="F16" s="1" t="str">
        <f t="shared" si="1"/>
        <v>#DIV/0!</v>
      </c>
      <c r="K16" s="1" t="str">
        <f t="shared" si="2"/>
        <v>#DIV/0!</v>
      </c>
      <c r="M16" s="1">
        <f t="shared" si="4"/>
        <v>0</v>
      </c>
    </row>
    <row r="17">
      <c r="F17" s="1" t="str">
        <f t="shared" si="1"/>
        <v>#DIV/0!</v>
      </c>
      <c r="K17" s="1" t="str">
        <f t="shared" si="2"/>
        <v>#DIV/0!</v>
      </c>
      <c r="M17" s="1">
        <f t="shared" si="4"/>
        <v>0</v>
      </c>
    </row>
    <row r="18">
      <c r="F18" s="1" t="str">
        <f t="shared" si="1"/>
        <v>#DIV/0!</v>
      </c>
      <c r="K18" s="1" t="str">
        <f t="shared" si="2"/>
        <v>#DIV/0!</v>
      </c>
      <c r="M18" s="1">
        <f t="shared" si="4"/>
        <v>0</v>
      </c>
    </row>
    <row r="19">
      <c r="F19" s="1" t="str">
        <f t="shared" si="1"/>
        <v>#DIV/0!</v>
      </c>
      <c r="K19" s="1" t="str">
        <f t="shared" si="2"/>
        <v>#DIV/0!</v>
      </c>
      <c r="M19" s="1">
        <f t="shared" si="4"/>
        <v>0</v>
      </c>
    </row>
    <row r="20">
      <c r="F20" s="1" t="str">
        <f t="shared" si="1"/>
        <v>#DIV/0!</v>
      </c>
      <c r="K20" s="1" t="str">
        <f t="shared" si="2"/>
        <v>#DIV/0!</v>
      </c>
      <c r="M20" s="1">
        <f t="shared" si="4"/>
        <v>0</v>
      </c>
    </row>
    <row r="21" ht="15.75" customHeight="1">
      <c r="F21" s="1" t="str">
        <f t="shared" si="1"/>
        <v>#DIV/0!</v>
      </c>
      <c r="K21" s="1" t="str">
        <f t="shared" si="2"/>
        <v>#DIV/0!</v>
      </c>
      <c r="M21" s="1">
        <f t="shared" si="4"/>
        <v>0</v>
      </c>
    </row>
    <row r="22" ht="15.75" customHeight="1">
      <c r="F22" s="1" t="str">
        <f t="shared" si="1"/>
        <v>#DIV/0!</v>
      </c>
      <c r="K22" s="1" t="str">
        <f t="shared" si="2"/>
        <v>#DIV/0!</v>
      </c>
      <c r="M22" s="1">
        <f t="shared" si="4"/>
        <v>0</v>
      </c>
    </row>
    <row r="23" ht="15.75" customHeight="1">
      <c r="F23" s="1" t="str">
        <f t="shared" si="1"/>
        <v>#DIV/0!</v>
      </c>
      <c r="K23" s="1" t="str">
        <f t="shared" si="2"/>
        <v>#DIV/0!</v>
      </c>
      <c r="M23" s="1">
        <f t="shared" si="4"/>
        <v>0</v>
      </c>
    </row>
    <row r="24" ht="15.75" customHeight="1">
      <c r="F24" s="1" t="str">
        <f t="shared" si="1"/>
        <v>#DIV/0!</v>
      </c>
      <c r="K24" s="1" t="str">
        <f t="shared" si="2"/>
        <v>#DIV/0!</v>
      </c>
      <c r="M24" s="1">
        <f t="shared" si="4"/>
        <v>0</v>
      </c>
    </row>
    <row r="25" ht="15.75" customHeight="1">
      <c r="F25" s="1" t="str">
        <f t="shared" si="1"/>
        <v>#DIV/0!</v>
      </c>
      <c r="K25" s="1" t="str">
        <f t="shared" si="2"/>
        <v>#DIV/0!</v>
      </c>
      <c r="M25" s="1">
        <f t="shared" si="4"/>
        <v>0</v>
      </c>
    </row>
    <row r="26" ht="15.75" customHeight="1">
      <c r="F26" s="1" t="str">
        <f t="shared" si="1"/>
        <v>#DIV/0!</v>
      </c>
      <c r="K26" s="1" t="str">
        <f t="shared" si="2"/>
        <v>#DIV/0!</v>
      </c>
      <c r="M26" s="1">
        <f t="shared" si="4"/>
        <v>0</v>
      </c>
    </row>
    <row r="27" ht="15.75" customHeight="1">
      <c r="F27" s="1" t="str">
        <f t="shared" si="1"/>
        <v>#DIV/0!</v>
      </c>
      <c r="K27" s="1" t="str">
        <f t="shared" si="2"/>
        <v>#DIV/0!</v>
      </c>
      <c r="M27" s="1">
        <f t="shared" si="4"/>
        <v>0</v>
      </c>
    </row>
    <row r="28" ht="15.75" customHeight="1">
      <c r="F28" s="1" t="str">
        <f t="shared" si="1"/>
        <v>#DIV/0!</v>
      </c>
      <c r="K28" s="1" t="str">
        <f t="shared" si="2"/>
        <v>#DIV/0!</v>
      </c>
      <c r="M28" s="1">
        <f t="shared" si="4"/>
        <v>0</v>
      </c>
    </row>
    <row r="29" ht="15.75" customHeight="1">
      <c r="F29" s="1" t="str">
        <f t="shared" si="1"/>
        <v>#DIV/0!</v>
      </c>
      <c r="K29" s="1" t="str">
        <f t="shared" si="2"/>
        <v>#DIV/0!</v>
      </c>
      <c r="M29" s="1">
        <f t="shared" si="4"/>
        <v>0</v>
      </c>
    </row>
    <row r="30" ht="15.75" customHeight="1">
      <c r="F30" s="1" t="str">
        <f t="shared" si="1"/>
        <v>#DIV/0!</v>
      </c>
      <c r="K30" s="1" t="str">
        <f t="shared" si="2"/>
        <v>#DIV/0!</v>
      </c>
      <c r="M30" s="1">
        <f t="shared" si="4"/>
        <v>0</v>
      </c>
    </row>
    <row r="31" ht="15.75" customHeight="1">
      <c r="F31" s="1" t="str">
        <f t="shared" si="1"/>
        <v>#DIV/0!</v>
      </c>
      <c r="K31" s="1" t="str">
        <f t="shared" si="2"/>
        <v>#DIV/0!</v>
      </c>
      <c r="M31" s="1">
        <f t="shared" si="4"/>
        <v>0</v>
      </c>
    </row>
    <row r="32" ht="15.75" customHeight="1">
      <c r="F32" s="1" t="str">
        <f t="shared" si="1"/>
        <v>#DIV/0!</v>
      </c>
      <c r="K32" s="1" t="str">
        <f t="shared" si="2"/>
        <v>#DIV/0!</v>
      </c>
      <c r="M32" s="1">
        <f t="shared" si="4"/>
        <v>0</v>
      </c>
    </row>
    <row r="33" ht="15.75" customHeight="1">
      <c r="F33" s="1" t="str">
        <f t="shared" si="1"/>
        <v>#DIV/0!</v>
      </c>
      <c r="K33" s="1" t="str">
        <f t="shared" si="2"/>
        <v>#DIV/0!</v>
      </c>
      <c r="M33" s="1">
        <f t="shared" si="4"/>
        <v>0</v>
      </c>
    </row>
    <row r="34" ht="15.75" customHeight="1">
      <c r="F34" s="1" t="str">
        <f t="shared" si="1"/>
        <v>#DIV/0!</v>
      </c>
      <c r="K34" s="1" t="str">
        <f t="shared" si="2"/>
        <v>#DIV/0!</v>
      </c>
      <c r="M34" s="1">
        <f t="shared" si="4"/>
        <v>0</v>
      </c>
    </row>
    <row r="35" ht="15.75" customHeight="1">
      <c r="F35" s="1" t="str">
        <f t="shared" si="1"/>
        <v>#DIV/0!</v>
      </c>
      <c r="K35" s="1" t="str">
        <f t="shared" si="2"/>
        <v>#DIV/0!</v>
      </c>
      <c r="M35" s="1">
        <f t="shared" si="4"/>
        <v>0</v>
      </c>
    </row>
    <row r="36" ht="15.75" customHeight="1">
      <c r="F36" s="1" t="str">
        <f t="shared" si="1"/>
        <v>#DIV/0!</v>
      </c>
      <c r="K36" s="1" t="str">
        <f t="shared" si="2"/>
        <v>#DIV/0!</v>
      </c>
      <c r="M36" s="1">
        <f t="shared" si="4"/>
        <v>0</v>
      </c>
    </row>
    <row r="37" ht="15.75" customHeight="1">
      <c r="F37" s="1" t="str">
        <f t="shared" si="1"/>
        <v>#DIV/0!</v>
      </c>
      <c r="K37" s="1" t="str">
        <f t="shared" si="2"/>
        <v>#DIV/0!</v>
      </c>
      <c r="M37" s="1">
        <f t="shared" si="4"/>
        <v>0</v>
      </c>
    </row>
    <row r="38" ht="15.75" customHeight="1">
      <c r="F38" s="1" t="str">
        <f t="shared" si="1"/>
        <v>#DIV/0!</v>
      </c>
      <c r="K38" s="1" t="str">
        <f t="shared" si="2"/>
        <v>#DIV/0!</v>
      </c>
      <c r="M38" s="1">
        <f t="shared" si="4"/>
        <v>0</v>
      </c>
    </row>
    <row r="39" ht="15.75" customHeight="1">
      <c r="F39" s="1" t="str">
        <f t="shared" si="1"/>
        <v>#DIV/0!</v>
      </c>
      <c r="K39" s="1" t="str">
        <f t="shared" si="2"/>
        <v>#DIV/0!</v>
      </c>
      <c r="M39" s="1">
        <f t="shared" si="4"/>
        <v>0</v>
      </c>
    </row>
    <row r="40" ht="15.75" customHeight="1">
      <c r="F40" s="1" t="str">
        <f t="shared" si="1"/>
        <v>#DIV/0!</v>
      </c>
      <c r="K40" s="1" t="str">
        <f t="shared" si="2"/>
        <v>#DIV/0!</v>
      </c>
      <c r="M40" s="1">
        <f t="shared" si="4"/>
        <v>0</v>
      </c>
    </row>
    <row r="41" ht="15.75" customHeight="1">
      <c r="F41" s="1" t="str">
        <f t="shared" si="1"/>
        <v>#DIV/0!</v>
      </c>
      <c r="K41" s="1" t="str">
        <f t="shared" si="2"/>
        <v>#DIV/0!</v>
      </c>
      <c r="M41" s="1">
        <f t="shared" si="4"/>
        <v>0</v>
      </c>
    </row>
    <row r="42" ht="15.75" customHeight="1">
      <c r="F42" s="1" t="str">
        <f t="shared" si="1"/>
        <v>#DIV/0!</v>
      </c>
      <c r="K42" s="1" t="str">
        <f t="shared" si="2"/>
        <v>#DIV/0!</v>
      </c>
      <c r="M42" s="1">
        <f t="shared" si="4"/>
        <v>0</v>
      </c>
    </row>
    <row r="43" ht="15.75" customHeight="1">
      <c r="F43" s="1" t="str">
        <f t="shared" si="1"/>
        <v>#DIV/0!</v>
      </c>
      <c r="K43" s="1" t="str">
        <f t="shared" si="2"/>
        <v>#DIV/0!</v>
      </c>
      <c r="M43" s="1">
        <f t="shared" si="4"/>
        <v>0</v>
      </c>
    </row>
    <row r="44" ht="15.75" customHeight="1">
      <c r="F44" s="1" t="str">
        <f t="shared" si="1"/>
        <v>#DIV/0!</v>
      </c>
      <c r="K44" s="1" t="str">
        <f t="shared" si="2"/>
        <v>#DIV/0!</v>
      </c>
      <c r="M44" s="1">
        <f t="shared" si="4"/>
        <v>0</v>
      </c>
    </row>
    <row r="45" ht="15.75" customHeight="1">
      <c r="F45" s="1" t="str">
        <f t="shared" si="1"/>
        <v>#DIV/0!</v>
      </c>
      <c r="K45" s="1" t="str">
        <f t="shared" si="2"/>
        <v>#DIV/0!</v>
      </c>
      <c r="M45" s="1">
        <f t="shared" si="4"/>
        <v>0</v>
      </c>
    </row>
    <row r="46" ht="15.75" customHeight="1">
      <c r="F46" s="1" t="str">
        <f t="shared" si="1"/>
        <v>#DIV/0!</v>
      </c>
      <c r="K46" s="1" t="str">
        <f t="shared" si="2"/>
        <v>#DIV/0!</v>
      </c>
      <c r="M46" s="1">
        <f t="shared" si="4"/>
        <v>0</v>
      </c>
    </row>
    <row r="47" ht="15.75" customHeight="1">
      <c r="F47" s="1" t="str">
        <f t="shared" si="1"/>
        <v>#DIV/0!</v>
      </c>
      <c r="K47" s="1" t="str">
        <f t="shared" si="2"/>
        <v>#DIV/0!</v>
      </c>
      <c r="M47" s="1">
        <f t="shared" si="4"/>
        <v>0</v>
      </c>
    </row>
    <row r="48" ht="15.75" customHeight="1">
      <c r="F48" s="1" t="str">
        <f t="shared" si="1"/>
        <v>#DIV/0!</v>
      </c>
      <c r="K48" s="1" t="str">
        <f t="shared" si="2"/>
        <v>#DIV/0!</v>
      </c>
      <c r="M48" s="1">
        <f t="shared" si="4"/>
        <v>0</v>
      </c>
    </row>
    <row r="49" ht="15.75" customHeight="1">
      <c r="F49" s="1" t="str">
        <f t="shared" si="1"/>
        <v>#DIV/0!</v>
      </c>
      <c r="K49" s="1" t="str">
        <f t="shared" si="2"/>
        <v>#DIV/0!</v>
      </c>
      <c r="M49" s="1">
        <f t="shared" si="4"/>
        <v>0</v>
      </c>
    </row>
    <row r="50" ht="15.75" customHeight="1">
      <c r="F50" s="1" t="str">
        <f t="shared" si="1"/>
        <v>#DIV/0!</v>
      </c>
      <c r="K50" s="1" t="str">
        <f t="shared" si="2"/>
        <v>#DIV/0!</v>
      </c>
      <c r="M50" s="1">
        <f t="shared" si="4"/>
        <v>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3:F50">
    <cfRule type="cellIs" dxfId="0" priority="1" operator="lessThan">
      <formula>0</formula>
    </cfRule>
  </conditionalFormatting>
  <conditionalFormatting sqref="F3:F50">
    <cfRule type="cellIs" dxfId="1" priority="2" operator="greaterThan">
      <formula>0</formula>
    </cfRule>
  </conditionalFormatting>
  <conditionalFormatting sqref="K3:K50">
    <cfRule type="cellIs" dxfId="0" priority="3" operator="lessThan">
      <formula>0</formula>
    </cfRule>
  </conditionalFormatting>
  <conditionalFormatting sqref="K3:K50">
    <cfRule type="cellIs" dxfId="1" priority="4" operator="greaterThan">
      <formula>0</formula>
    </cfRule>
  </conditionalFormatting>
  <conditionalFormatting sqref="Q1:Q4 Q6:Q1000">
    <cfRule type="cellIs" dxfId="2" priority="5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144</v>
      </c>
    </row>
    <row r="2">
      <c r="C2" s="1" t="s">
        <v>145</v>
      </c>
      <c r="D2" s="1" t="s">
        <v>146</v>
      </c>
      <c r="E2" s="1" t="s">
        <v>147</v>
      </c>
      <c r="F2" s="1" t="s">
        <v>106</v>
      </c>
      <c r="G2" s="1" t="s">
        <v>14</v>
      </c>
      <c r="H2" s="1" t="s">
        <v>148</v>
      </c>
      <c r="K2" s="1" t="s">
        <v>149</v>
      </c>
    </row>
    <row r="3">
      <c r="B3" s="1" t="s">
        <v>150</v>
      </c>
      <c r="C3" s="1" t="s">
        <v>151</v>
      </c>
      <c r="E3" s="1">
        <v>0.24</v>
      </c>
      <c r="G3" s="1">
        <v>39.0</v>
      </c>
    </row>
    <row r="4">
      <c r="B4" s="1" t="s">
        <v>152</v>
      </c>
      <c r="C4" s="1" t="s">
        <v>153</v>
      </c>
      <c r="E4" s="1">
        <v>0.57</v>
      </c>
      <c r="G4" s="1">
        <v>23.0</v>
      </c>
    </row>
    <row r="5">
      <c r="B5" s="1" t="s">
        <v>154</v>
      </c>
      <c r="C5" s="1" t="s">
        <v>155</v>
      </c>
      <c r="E5" s="1">
        <v>0.42</v>
      </c>
      <c r="G5" s="1">
        <v>25.0</v>
      </c>
    </row>
    <row r="6">
      <c r="B6" s="1" t="s">
        <v>156</v>
      </c>
      <c r="C6" s="1" t="s">
        <v>157</v>
      </c>
      <c r="E6" s="1">
        <v>0.24</v>
      </c>
      <c r="G6" s="1">
        <v>27.0</v>
      </c>
    </row>
    <row r="10">
      <c r="A10" s="1" t="s">
        <v>158</v>
      </c>
    </row>
    <row r="11">
      <c r="B11" s="1" t="s">
        <v>160</v>
      </c>
    </row>
    <row r="13">
      <c r="A13" s="1" t="s">
        <v>161</v>
      </c>
    </row>
    <row r="14">
      <c r="A14" s="1" t="s">
        <v>162</v>
      </c>
      <c r="B14" s="1" t="s">
        <v>106</v>
      </c>
      <c r="C14" s="1" t="s">
        <v>14</v>
      </c>
      <c r="D14" s="1" t="s">
        <v>163</v>
      </c>
      <c r="E14" s="1" t="s">
        <v>43</v>
      </c>
      <c r="F14" s="1" t="s">
        <v>45</v>
      </c>
      <c r="G14" s="1" t="s">
        <v>164</v>
      </c>
      <c r="H14" s="1" t="s">
        <v>53</v>
      </c>
      <c r="I14" s="1" t="s">
        <v>54</v>
      </c>
      <c r="J14" s="1" t="s">
        <v>55</v>
      </c>
      <c r="K14" s="1" t="s">
        <v>56</v>
      </c>
      <c r="L14" s="1" t="s">
        <v>46</v>
      </c>
      <c r="M14" s="1" t="s">
        <v>165</v>
      </c>
      <c r="N14" s="1" t="s">
        <v>48</v>
      </c>
      <c r="O14" s="1" t="s">
        <v>49</v>
      </c>
      <c r="P14" s="1" t="s">
        <v>50</v>
      </c>
      <c r="Q14" s="1" t="s">
        <v>57</v>
      </c>
    </row>
    <row r="15">
      <c r="A15" s="1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6.75"/>
    <col customWidth="1" min="3" max="3" width="10.5"/>
    <col customWidth="1" min="4" max="4" width="4.38"/>
    <col customWidth="1" min="5" max="5" width="5.38"/>
    <col customWidth="1" min="6" max="6" width="6.13"/>
    <col customWidth="1" min="7" max="7" width="6.75"/>
    <col customWidth="1" min="8" max="8" width="7.63"/>
    <col customWidth="1" min="9" max="9" width="9.0"/>
    <col customWidth="1" min="10" max="10" width="17.0"/>
    <col customWidth="1" min="11" max="11" width="6.63"/>
    <col customWidth="1" min="12" max="12" width="11.25"/>
    <col customWidth="1" min="13" max="13" width="6.0"/>
    <col customWidth="1" min="14" max="14" width="10.38"/>
    <col customWidth="1" min="15" max="15" width="5.38"/>
    <col customWidth="1" min="16" max="16" width="5.13"/>
    <col customWidth="1" min="17" max="17" width="4.75"/>
    <col customWidth="1" min="18" max="18" width="11.75"/>
    <col customWidth="1" min="19" max="19" width="8.75"/>
    <col customWidth="1" min="20" max="26" width="7.63"/>
  </cols>
  <sheetData>
    <row r="1">
      <c r="A1" s="3" t="s">
        <v>173</v>
      </c>
      <c r="I1" s="1" t="s">
        <v>174</v>
      </c>
      <c r="K1" s="1" t="s">
        <v>175</v>
      </c>
      <c r="R1" s="1" t="s">
        <v>176</v>
      </c>
      <c r="S1" s="1" t="s">
        <v>177</v>
      </c>
      <c r="T1" s="13">
        <v>100.0</v>
      </c>
    </row>
    <row r="2">
      <c r="A2" s="1" t="s">
        <v>162</v>
      </c>
      <c r="B2" s="1" t="s">
        <v>106</v>
      </c>
      <c r="C2" s="1" t="s">
        <v>43</v>
      </c>
      <c r="D2" s="1" t="s">
        <v>178</v>
      </c>
      <c r="E2" s="1" t="s">
        <v>14</v>
      </c>
      <c r="F2" s="1" t="s">
        <v>179</v>
      </c>
      <c r="G2" s="1" t="s">
        <v>180</v>
      </c>
      <c r="H2" s="1" t="s">
        <v>56</v>
      </c>
      <c r="I2" s="1" t="s">
        <v>181</v>
      </c>
      <c r="J2" s="1" t="s">
        <v>183</v>
      </c>
      <c r="K2" s="1" t="s">
        <v>184</v>
      </c>
      <c r="L2" s="1" t="s">
        <v>185</v>
      </c>
      <c r="M2" s="1" t="s">
        <v>53</v>
      </c>
      <c r="N2" s="1" t="s">
        <v>186</v>
      </c>
      <c r="O2" s="1" t="s">
        <v>187</v>
      </c>
      <c r="P2" s="1" t="s">
        <v>188</v>
      </c>
      <c r="R2" s="1" t="s">
        <v>189</v>
      </c>
      <c r="S2" s="1" t="s">
        <v>190</v>
      </c>
    </row>
    <row r="3">
      <c r="A3" s="1" t="s">
        <v>121</v>
      </c>
      <c r="C3" s="1">
        <v>258.5</v>
      </c>
      <c r="D3" s="1">
        <v>6.55</v>
      </c>
      <c r="E3" s="1">
        <v>2.0</v>
      </c>
      <c r="F3" s="1">
        <v>2.8</v>
      </c>
      <c r="I3" s="1">
        <v>310.0</v>
      </c>
      <c r="J3" s="1">
        <v>250.56</v>
      </c>
      <c r="K3" s="1">
        <v>379.6</v>
      </c>
      <c r="L3" s="1">
        <v>250.56</v>
      </c>
      <c r="M3" s="14">
        <v>43386.0</v>
      </c>
      <c r="N3" s="1">
        <f t="shared" ref="N3:N31" si="1">(I3-J3)/2</f>
        <v>29.72</v>
      </c>
      <c r="O3" s="1">
        <f>N3*T1</f>
        <v>2972</v>
      </c>
      <c r="P3" s="1">
        <f>C3*T1</f>
        <v>25850</v>
      </c>
      <c r="R3" s="1">
        <f t="shared" ref="R3:R31" si="2">L3+N3</f>
        <v>280.28</v>
      </c>
      <c r="S3" s="1" t="s">
        <v>194</v>
      </c>
    </row>
    <row r="4">
      <c r="A4" s="1" t="s">
        <v>47</v>
      </c>
      <c r="C4" s="1">
        <v>247.0</v>
      </c>
      <c r="D4" s="1">
        <v>11.0</v>
      </c>
      <c r="E4" s="1">
        <v>4.8</v>
      </c>
      <c r="F4" s="1">
        <v>5.6</v>
      </c>
      <c r="I4" s="3">
        <v>289.36</v>
      </c>
      <c r="J4" s="1">
        <v>235.13</v>
      </c>
      <c r="K4" s="1">
        <v>289.36</v>
      </c>
      <c r="L4" s="1">
        <v>187.4</v>
      </c>
      <c r="M4" s="14">
        <v>43386.0</v>
      </c>
      <c r="N4" s="1">
        <f t="shared" si="1"/>
        <v>27.115</v>
      </c>
      <c r="O4" s="1">
        <f>N4*T1</f>
        <v>2711.5</v>
      </c>
      <c r="P4" s="1">
        <f>C4*T1</f>
        <v>24700</v>
      </c>
      <c r="R4" s="1">
        <f t="shared" si="2"/>
        <v>214.515</v>
      </c>
      <c r="S4" s="1" t="s">
        <v>198</v>
      </c>
    </row>
    <row r="5">
      <c r="A5" s="1" t="s">
        <v>199</v>
      </c>
      <c r="C5" s="1">
        <v>340.0</v>
      </c>
      <c r="F5" s="1">
        <v>5.2</v>
      </c>
      <c r="I5" s="1">
        <v>381.43</v>
      </c>
      <c r="J5" s="1">
        <v>321.1</v>
      </c>
      <c r="K5" s="1">
        <v>418.97</v>
      </c>
      <c r="L5" s="1">
        <v>184.21</v>
      </c>
      <c r="N5" s="1">
        <f t="shared" si="1"/>
        <v>30.165</v>
      </c>
      <c r="O5" s="1">
        <f>N5*T1</f>
        <v>3016.5</v>
      </c>
      <c r="P5" s="1">
        <f>C5*T1</f>
        <v>34000</v>
      </c>
      <c r="R5" s="1">
        <f t="shared" si="2"/>
        <v>214.375</v>
      </c>
      <c r="S5" s="1" t="s">
        <v>198</v>
      </c>
    </row>
    <row r="6">
      <c r="N6" s="1">
        <f t="shared" si="1"/>
        <v>0</v>
      </c>
      <c r="O6" s="1">
        <f t="shared" ref="O6:O31" si="3">N6*Q6</f>
        <v>0</v>
      </c>
      <c r="P6" s="1">
        <f>C6*T1</f>
        <v>0</v>
      </c>
      <c r="R6" s="1">
        <f t="shared" si="2"/>
        <v>0</v>
      </c>
    </row>
    <row r="7">
      <c r="N7" s="1">
        <f t="shared" si="1"/>
        <v>0</v>
      </c>
      <c r="O7" s="1">
        <f t="shared" si="3"/>
        <v>0</v>
      </c>
      <c r="P7" s="1">
        <f>C7*T1</f>
        <v>0</v>
      </c>
      <c r="R7" s="1">
        <f t="shared" si="2"/>
        <v>0</v>
      </c>
    </row>
    <row r="8">
      <c r="N8" s="1">
        <f t="shared" si="1"/>
        <v>0</v>
      </c>
      <c r="O8" s="1">
        <f t="shared" si="3"/>
        <v>0</v>
      </c>
      <c r="P8" s="1">
        <f>C8*P4</f>
        <v>0</v>
      </c>
      <c r="R8" s="1">
        <f t="shared" si="2"/>
        <v>0</v>
      </c>
    </row>
    <row r="9">
      <c r="N9" s="1">
        <f t="shared" si="1"/>
        <v>0</v>
      </c>
      <c r="O9" s="1">
        <f t="shared" si="3"/>
        <v>0</v>
      </c>
      <c r="P9" s="1">
        <f>C9*P7</f>
        <v>0</v>
      </c>
      <c r="R9" s="1">
        <f t="shared" si="2"/>
        <v>0</v>
      </c>
    </row>
    <row r="10">
      <c r="N10" s="1">
        <f t="shared" si="1"/>
        <v>0</v>
      </c>
      <c r="O10" s="1">
        <f t="shared" si="3"/>
        <v>0</v>
      </c>
      <c r="P10" s="1">
        <f>C10*P7</f>
        <v>0</v>
      </c>
      <c r="R10" s="1">
        <f t="shared" si="2"/>
        <v>0</v>
      </c>
    </row>
    <row r="11">
      <c r="N11" s="1">
        <f t="shared" si="1"/>
        <v>0</v>
      </c>
      <c r="O11" s="1">
        <f t="shared" si="3"/>
        <v>0</v>
      </c>
      <c r="P11" s="1">
        <f>C11*P7</f>
        <v>0</v>
      </c>
      <c r="R11" s="1">
        <f t="shared" si="2"/>
        <v>0</v>
      </c>
    </row>
    <row r="12">
      <c r="N12" s="1">
        <f t="shared" si="1"/>
        <v>0</v>
      </c>
      <c r="O12" s="1">
        <f t="shared" si="3"/>
        <v>0</v>
      </c>
      <c r="P12" s="1">
        <f>C12*P10</f>
        <v>0</v>
      </c>
      <c r="R12" s="1">
        <f t="shared" si="2"/>
        <v>0</v>
      </c>
    </row>
    <row r="13">
      <c r="N13" s="1">
        <f t="shared" si="1"/>
        <v>0</v>
      </c>
      <c r="O13" s="1">
        <f t="shared" si="3"/>
        <v>0</v>
      </c>
      <c r="P13" s="1">
        <f>C13*P10</f>
        <v>0</v>
      </c>
      <c r="R13" s="1">
        <f t="shared" si="2"/>
        <v>0</v>
      </c>
    </row>
    <row r="14">
      <c r="N14" s="1">
        <f t="shared" si="1"/>
        <v>0</v>
      </c>
      <c r="O14" s="1">
        <f t="shared" si="3"/>
        <v>0</v>
      </c>
      <c r="P14" s="1">
        <f>C14*P10</f>
        <v>0</v>
      </c>
      <c r="R14" s="1">
        <f t="shared" si="2"/>
        <v>0</v>
      </c>
    </row>
    <row r="15">
      <c r="N15" s="1">
        <f t="shared" si="1"/>
        <v>0</v>
      </c>
      <c r="O15" s="1">
        <f t="shared" si="3"/>
        <v>0</v>
      </c>
      <c r="P15" s="1">
        <f>C15*P13</f>
        <v>0</v>
      </c>
      <c r="R15" s="1">
        <f t="shared" si="2"/>
        <v>0</v>
      </c>
    </row>
    <row r="16">
      <c r="N16" s="1">
        <f t="shared" si="1"/>
        <v>0</v>
      </c>
      <c r="O16" s="1">
        <f t="shared" si="3"/>
        <v>0</v>
      </c>
      <c r="P16" s="1">
        <f>C16*P13</f>
        <v>0</v>
      </c>
      <c r="R16" s="1">
        <f t="shared" si="2"/>
        <v>0</v>
      </c>
    </row>
    <row r="17">
      <c r="N17" s="1">
        <f t="shared" si="1"/>
        <v>0</v>
      </c>
      <c r="O17" s="1">
        <f t="shared" si="3"/>
        <v>0</v>
      </c>
      <c r="P17" s="1">
        <f>C17*P13</f>
        <v>0</v>
      </c>
      <c r="R17" s="1">
        <f t="shared" si="2"/>
        <v>0</v>
      </c>
    </row>
    <row r="18">
      <c r="N18" s="1">
        <f t="shared" si="1"/>
        <v>0</v>
      </c>
      <c r="O18" s="1">
        <f t="shared" si="3"/>
        <v>0</v>
      </c>
      <c r="P18" s="1">
        <f>C18*P16</f>
        <v>0</v>
      </c>
      <c r="R18" s="1">
        <f t="shared" si="2"/>
        <v>0</v>
      </c>
    </row>
    <row r="19">
      <c r="N19" s="1">
        <f t="shared" si="1"/>
        <v>0</v>
      </c>
      <c r="O19" s="1">
        <f t="shared" si="3"/>
        <v>0</v>
      </c>
      <c r="P19" s="1">
        <f>C19*P16</f>
        <v>0</v>
      </c>
      <c r="R19" s="1">
        <f t="shared" si="2"/>
        <v>0</v>
      </c>
    </row>
    <row r="20">
      <c r="N20" s="1">
        <f t="shared" si="1"/>
        <v>0</v>
      </c>
      <c r="O20" s="1">
        <f t="shared" si="3"/>
        <v>0</v>
      </c>
      <c r="P20" s="1">
        <f>C20*P16</f>
        <v>0</v>
      </c>
      <c r="R20" s="1">
        <f t="shared" si="2"/>
        <v>0</v>
      </c>
    </row>
    <row r="21" ht="15.75" customHeight="1">
      <c r="N21" s="1">
        <f t="shared" si="1"/>
        <v>0</v>
      </c>
      <c r="O21" s="1">
        <f t="shared" si="3"/>
        <v>0</v>
      </c>
      <c r="P21" s="1">
        <f t="shared" ref="P21:P31" si="4">C21*Q21</f>
        <v>0</v>
      </c>
      <c r="R21" s="1">
        <f t="shared" si="2"/>
        <v>0</v>
      </c>
    </row>
    <row r="22" ht="15.75" customHeight="1">
      <c r="N22" s="1">
        <f t="shared" si="1"/>
        <v>0</v>
      </c>
      <c r="O22" s="1">
        <f t="shared" si="3"/>
        <v>0</v>
      </c>
      <c r="P22" s="1">
        <f t="shared" si="4"/>
        <v>0</v>
      </c>
      <c r="R22" s="1">
        <f t="shared" si="2"/>
        <v>0</v>
      </c>
    </row>
    <row r="23" ht="15.75" customHeight="1">
      <c r="N23" s="1">
        <f t="shared" si="1"/>
        <v>0</v>
      </c>
      <c r="O23" s="1">
        <f t="shared" si="3"/>
        <v>0</v>
      </c>
      <c r="P23" s="1">
        <f t="shared" si="4"/>
        <v>0</v>
      </c>
      <c r="R23" s="1">
        <f t="shared" si="2"/>
        <v>0</v>
      </c>
    </row>
    <row r="24" ht="15.75" customHeight="1">
      <c r="N24" s="1">
        <f t="shared" si="1"/>
        <v>0</v>
      </c>
      <c r="O24" s="1">
        <f t="shared" si="3"/>
        <v>0</v>
      </c>
      <c r="P24" s="1">
        <f t="shared" si="4"/>
        <v>0</v>
      </c>
      <c r="R24" s="1">
        <f t="shared" si="2"/>
        <v>0</v>
      </c>
    </row>
    <row r="25" ht="15.75" customHeight="1">
      <c r="N25" s="1">
        <f t="shared" si="1"/>
        <v>0</v>
      </c>
      <c r="O25" s="1">
        <f t="shared" si="3"/>
        <v>0</v>
      </c>
      <c r="P25" s="1">
        <f t="shared" si="4"/>
        <v>0</v>
      </c>
      <c r="R25" s="1">
        <f t="shared" si="2"/>
        <v>0</v>
      </c>
    </row>
    <row r="26" ht="15.75" customHeight="1">
      <c r="N26" s="1">
        <f t="shared" si="1"/>
        <v>0</v>
      </c>
      <c r="O26" s="1">
        <f t="shared" si="3"/>
        <v>0</v>
      </c>
      <c r="P26" s="1">
        <f t="shared" si="4"/>
        <v>0</v>
      </c>
      <c r="R26" s="1">
        <f t="shared" si="2"/>
        <v>0</v>
      </c>
    </row>
    <row r="27" ht="15.75" customHeight="1">
      <c r="N27" s="1">
        <f t="shared" si="1"/>
        <v>0</v>
      </c>
      <c r="O27" s="1">
        <f t="shared" si="3"/>
        <v>0</v>
      </c>
      <c r="P27" s="1">
        <f t="shared" si="4"/>
        <v>0</v>
      </c>
      <c r="R27" s="1">
        <f t="shared" si="2"/>
        <v>0</v>
      </c>
    </row>
    <row r="28" ht="15.75" customHeight="1">
      <c r="N28" s="1">
        <f t="shared" si="1"/>
        <v>0</v>
      </c>
      <c r="O28" s="1">
        <f t="shared" si="3"/>
        <v>0</v>
      </c>
      <c r="P28" s="1">
        <f t="shared" si="4"/>
        <v>0</v>
      </c>
      <c r="R28" s="1">
        <f t="shared" si="2"/>
        <v>0</v>
      </c>
    </row>
    <row r="29" ht="15.75" customHeight="1">
      <c r="N29" s="1">
        <f t="shared" si="1"/>
        <v>0</v>
      </c>
      <c r="O29" s="1">
        <f t="shared" si="3"/>
        <v>0</v>
      </c>
      <c r="P29" s="1">
        <f t="shared" si="4"/>
        <v>0</v>
      </c>
      <c r="R29" s="1">
        <f t="shared" si="2"/>
        <v>0</v>
      </c>
    </row>
    <row r="30" ht="15.75" customHeight="1">
      <c r="N30" s="1">
        <f t="shared" si="1"/>
        <v>0</v>
      </c>
      <c r="O30" s="1">
        <f t="shared" si="3"/>
        <v>0</v>
      </c>
      <c r="P30" s="1">
        <f t="shared" si="4"/>
        <v>0</v>
      </c>
      <c r="R30" s="1">
        <f t="shared" si="2"/>
        <v>0</v>
      </c>
    </row>
    <row r="31" ht="15.75" customHeight="1">
      <c r="N31" s="1">
        <f t="shared" si="1"/>
        <v>0</v>
      </c>
      <c r="O31" s="1">
        <f t="shared" si="3"/>
        <v>0</v>
      </c>
      <c r="P31" s="1">
        <f t="shared" si="4"/>
        <v>0</v>
      </c>
      <c r="R31" s="1">
        <f t="shared" si="2"/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2018-09-29T17:41:40Z</dcterms:created>
  <dc:creator>Tariye Peter</dc:creator>
</cp:coreProperties>
</file>