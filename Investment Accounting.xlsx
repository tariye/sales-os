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5"/>
  <workbookPr/>
  <mc:AlternateContent xmlns:mc="http://schemas.openxmlformats.org/markup-compatibility/2006">
    <mc:Choice Requires="x15">
      <x15ac:absPath xmlns:x15ac="http://schemas.microsoft.com/office/spreadsheetml/2010/11/ac" url="C:\Users\marvi\Google Drive\"/>
    </mc:Choice>
  </mc:AlternateContent>
  <xr:revisionPtr revIDLastSave="0" documentId="13_ncr:1000001_{05E14FC6-78F9-3248-B892-150B05EAFC04}" xr6:coauthVersionLast="47" xr6:coauthVersionMax="47" xr10:uidLastSave="{00000000-0000-0000-0000-000000000000}"/>
  <bookViews>
    <workbookView xWindow="0" yWindow="0" windowWidth="19200" windowHeight="11595" xr2:uid="{00000000-000D-0000-FFFF-FFFF00000000}"/>
  </bookViews>
  <sheets>
    <sheet name="Accounting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1" l="1"/>
  <c r="C9" i="1"/>
  <c r="C8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2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C3" i="1"/>
  <c r="F3" i="1"/>
  <c r="C4" i="1"/>
  <c r="F4" i="1"/>
  <c r="C5" i="1"/>
  <c r="F5" i="1"/>
  <c r="C6" i="1"/>
  <c r="F6" i="1"/>
  <c r="C7" i="1"/>
  <c r="F7" i="1"/>
  <c r="F8" i="1"/>
  <c r="F9" i="1"/>
  <c r="C10" i="1"/>
  <c r="F10" i="1"/>
  <c r="F11" i="1"/>
  <c r="C12" i="1"/>
  <c r="F12" i="1"/>
  <c r="C13" i="1"/>
  <c r="F13" i="1"/>
  <c r="C14" i="1"/>
  <c r="F14" i="1"/>
  <c r="C15" i="1"/>
  <c r="F15" i="1"/>
  <c r="C16" i="1"/>
  <c r="F16" i="1"/>
  <c r="C17" i="1"/>
  <c r="F17" i="1"/>
  <c r="C18" i="1"/>
  <c r="F18" i="1"/>
  <c r="C19" i="1"/>
  <c r="F19" i="1"/>
  <c r="C20" i="1"/>
  <c r="F20" i="1"/>
  <c r="C21" i="1"/>
  <c r="F21" i="1"/>
  <c r="C22" i="1"/>
  <c r="F22" i="1"/>
  <c r="C23" i="1"/>
  <c r="F23" i="1"/>
  <c r="C24" i="1"/>
  <c r="F24" i="1"/>
  <c r="C25" i="1"/>
  <c r="F25" i="1"/>
  <c r="C26" i="1"/>
  <c r="F26" i="1"/>
  <c r="C27" i="1"/>
  <c r="F27" i="1"/>
  <c r="C28" i="1"/>
  <c r="F28" i="1"/>
  <c r="C29" i="1"/>
  <c r="F29" i="1"/>
  <c r="C30" i="1"/>
  <c r="F30" i="1"/>
  <c r="C31" i="1"/>
  <c r="F31" i="1"/>
  <c r="C32" i="1"/>
  <c r="F32" i="1"/>
  <c r="C33" i="1"/>
  <c r="F33" i="1"/>
  <c r="C34" i="1"/>
  <c r="F34" i="1"/>
  <c r="C35" i="1"/>
  <c r="F35" i="1"/>
  <c r="C36" i="1"/>
  <c r="F36" i="1"/>
  <c r="C37" i="1"/>
  <c r="F37" i="1"/>
  <c r="C38" i="1"/>
  <c r="F38" i="1"/>
  <c r="C39" i="1"/>
  <c r="F39" i="1"/>
  <c r="C40" i="1"/>
  <c r="F40" i="1"/>
  <c r="C41" i="1"/>
  <c r="F41" i="1"/>
  <c r="C42" i="1"/>
  <c r="F42" i="1"/>
  <c r="C43" i="1"/>
  <c r="F43" i="1"/>
  <c r="C44" i="1"/>
  <c r="F44" i="1"/>
  <c r="C45" i="1"/>
  <c r="F45" i="1"/>
  <c r="C46" i="1"/>
  <c r="F46" i="1"/>
  <c r="C47" i="1"/>
  <c r="F47" i="1"/>
  <c r="C48" i="1"/>
  <c r="F48" i="1"/>
  <c r="C49" i="1"/>
  <c r="F49" i="1"/>
  <c r="C50" i="1"/>
  <c r="F50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C2" i="1"/>
  <c r="F2" i="1"/>
  <c r="G2" i="1"/>
  <c r="Q3" i="1"/>
</calcChain>
</file>

<file path=xl/sharedStrings.xml><?xml version="1.0" encoding="utf-8"?>
<sst xmlns="http://schemas.openxmlformats.org/spreadsheetml/2006/main" count="96" uniqueCount="62">
  <si>
    <t xml:space="preserve">Name </t>
  </si>
  <si>
    <t xml:space="preserve">Returns </t>
  </si>
  <si>
    <t>P/L per share</t>
  </si>
  <si>
    <t>date</t>
  </si>
  <si>
    <t>Lesson Learned</t>
  </si>
  <si>
    <t>sell price</t>
  </si>
  <si>
    <t>Account</t>
  </si>
  <si>
    <t>Strategy</t>
  </si>
  <si>
    <t>ACHV</t>
  </si>
  <si>
    <t>TRVN</t>
  </si>
  <si>
    <t>ZN</t>
  </si>
  <si>
    <t>EYPT</t>
  </si>
  <si>
    <t>Trading Style</t>
  </si>
  <si>
    <t>sept 26 -sept 28</t>
  </si>
  <si>
    <t>Swing</t>
  </si>
  <si>
    <t>Day</t>
  </si>
  <si>
    <t>Robinhood</t>
  </si>
  <si>
    <t>avg price</t>
  </si>
  <si>
    <t>Total Realized P/L</t>
  </si>
  <si>
    <t>Break Down</t>
  </si>
  <si>
    <t>Continous</t>
  </si>
  <si>
    <t>hold period</t>
  </si>
  <si>
    <t xml:space="preserve">Missed opportunity, bad late entry </t>
  </si>
  <si>
    <t>%chg</t>
  </si>
  <si>
    <r>
      <t xml:space="preserve">missed opportunity, </t>
    </r>
    <r>
      <rPr>
        <b/>
        <sz val="7.5"/>
        <color theme="1"/>
        <rFont val="Calibri"/>
        <family val="2"/>
        <scheme val="minor"/>
      </rPr>
      <t>late entry</t>
    </r>
    <r>
      <rPr>
        <sz val="7.5"/>
        <color theme="1"/>
        <rFont val="Calibri"/>
        <family val="2"/>
        <scheme val="minor"/>
      </rPr>
      <t>, way after 2nd resistance</t>
    </r>
  </si>
  <si>
    <t>not a bad entry, the odds were just against you</t>
  </si>
  <si>
    <t>shares</t>
  </si>
  <si>
    <t>Vol</t>
  </si>
  <si>
    <t>AVXL</t>
  </si>
  <si>
    <t>951k</t>
  </si>
  <si>
    <t>48m</t>
  </si>
  <si>
    <t>GBR</t>
  </si>
  <si>
    <t>1.98m</t>
  </si>
  <si>
    <t>4.03m</t>
  </si>
  <si>
    <t>2.69m</t>
  </si>
  <si>
    <t>2.37m</t>
  </si>
  <si>
    <t>great trade</t>
  </si>
  <si>
    <t>good  trade</t>
  </si>
  <si>
    <r>
      <rPr>
        <b/>
        <sz val="7.5"/>
        <color theme="1"/>
        <rFont val="Calibri"/>
        <family val="2"/>
        <scheme val="minor"/>
      </rPr>
      <t>Ok trade,</t>
    </r>
    <r>
      <rPr>
        <sz val="7.5"/>
        <color theme="1"/>
        <rFont val="Calibri"/>
        <family val="2"/>
        <scheme val="minor"/>
      </rPr>
      <t xml:space="preserve"> dip buy not played well</t>
    </r>
  </si>
  <si>
    <t>IGC</t>
  </si>
  <si>
    <t>$ invesment</t>
  </si>
  <si>
    <t>121m</t>
  </si>
  <si>
    <t>NBEV</t>
  </si>
  <si>
    <t>IZEA</t>
  </si>
  <si>
    <t>poor reward managemnet</t>
  </si>
  <si>
    <t>66m</t>
  </si>
  <si>
    <t>26.89m</t>
  </si>
  <si>
    <t>Random</t>
  </si>
  <si>
    <t>poor entry</t>
  </si>
  <si>
    <t>panic entry</t>
  </si>
  <si>
    <t>47m</t>
  </si>
  <si>
    <t>Dip Buy</t>
  </si>
  <si>
    <t>apply stop loss</t>
  </si>
  <si>
    <t>OGEN</t>
  </si>
  <si>
    <t>17m</t>
  </si>
  <si>
    <t>12m</t>
  </si>
  <si>
    <t>PXS</t>
  </si>
  <si>
    <t>PREPARE</t>
  </si>
  <si>
    <t>day</t>
  </si>
  <si>
    <t>let support &amp; resistance guide reward</t>
  </si>
  <si>
    <t>Wealth Building Start</t>
  </si>
  <si>
    <t>1.9m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</si>
</sst>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7.5"/>
      <color theme="1"/>
      <name val="Calibri"/>
      <family val="2"/>
      <scheme val="minor"/>
    </font>
    <font>
      <b/>
      <sz val="7.5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" fontId="0" fillId="0" borderId="0" xfId="0" applyNumberFormat="1"/>
    <xf numFmtId="0" fontId="0" fillId="0" borderId="0" xfId="0" applyAlignment="1">
      <alignment horizontal="left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/>
    <xf numFmtId="16" fontId="3" fillId="0" borderId="0" xfId="0" applyNumberFormat="1" applyFont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8"/>
  <sheetViews>
    <sheetView tabSelected="1" workbookViewId="0">
      <selection activeCell="R7" sqref="R7"/>
    </sheetView>
  </sheetViews>
  <sheetFormatPr defaultRowHeight="15" x14ac:dyDescent="0.2"/>
  <cols>
    <col min="1" max="1" width="5.91796875" customWidth="1"/>
    <col min="2" max="2" width="8.33984375" customWidth="1"/>
    <col min="3" max="3" width="11.8359375" customWidth="1"/>
    <col min="4" max="4" width="8.875" customWidth="1"/>
    <col min="5" max="5" width="8.609375" customWidth="1"/>
    <col min="6" max="6" width="7.93359375" customWidth="1"/>
    <col min="7" max="7" width="12.64453125" customWidth="1"/>
    <col min="8" max="8" width="6.1875" customWidth="1"/>
    <col min="9" max="9" width="7.12890625" customWidth="1"/>
    <col min="10" max="10" width="14.2578125" customWidth="1"/>
    <col min="11" max="12" width="10.89453125" customWidth="1"/>
    <col min="13" max="13" width="11.02734375" customWidth="1"/>
    <col min="14" max="14" width="11.97265625" customWidth="1"/>
    <col min="15" max="15" width="11.703125" style="3" customWidth="1"/>
    <col min="16" max="16" width="16.41015625" customWidth="1"/>
    <col min="17" max="17" width="6.3203125" customWidth="1"/>
  </cols>
  <sheetData>
    <row r="1" spans="1:17" ht="15.75" customHeight="1" x14ac:dyDescent="0.2">
      <c r="A1" t="s">
        <v>0</v>
      </c>
      <c r="B1" t="s">
        <v>17</v>
      </c>
      <c r="C1" t="s">
        <v>40</v>
      </c>
      <c r="D1" t="s">
        <v>26</v>
      </c>
      <c r="E1" t="s">
        <v>5</v>
      </c>
      <c r="F1" t="s">
        <v>1</v>
      </c>
      <c r="G1" t="s">
        <v>2</v>
      </c>
      <c r="H1" t="s">
        <v>23</v>
      </c>
      <c r="I1" t="s">
        <v>27</v>
      </c>
      <c r="J1" t="s">
        <v>3</v>
      </c>
      <c r="K1" t="s">
        <v>21</v>
      </c>
      <c r="L1" t="s">
        <v>6</v>
      </c>
      <c r="M1" t="s">
        <v>7</v>
      </c>
      <c r="N1" t="s">
        <v>12</v>
      </c>
      <c r="O1" s="3" t="s">
        <v>4</v>
      </c>
    </row>
    <row r="2" spans="1:17" ht="38.25" x14ac:dyDescent="0.2">
      <c r="A2" t="s">
        <v>28</v>
      </c>
      <c r="B2">
        <v>3.1063999999999998</v>
      </c>
      <c r="C2">
        <f>B2*D2</f>
        <v>310.64</v>
      </c>
      <c r="D2">
        <v>100</v>
      </c>
      <c r="E2">
        <v>2.92</v>
      </c>
      <c r="F2">
        <f>(E2*D2)-C2</f>
        <v>-18.639999999999986</v>
      </c>
      <c r="G2">
        <f>E2-B2</f>
        <v>-0.1863999999999999</v>
      </c>
      <c r="H2">
        <f>((E2-B2)/B2)*100</f>
        <v>-6.0005150656708706</v>
      </c>
      <c r="I2" t="s">
        <v>29</v>
      </c>
      <c r="J2" t="s">
        <v>13</v>
      </c>
      <c r="K2">
        <v>2</v>
      </c>
      <c r="L2" t="s">
        <v>16</v>
      </c>
      <c r="M2" t="s">
        <v>20</v>
      </c>
      <c r="N2" t="s">
        <v>14</v>
      </c>
      <c r="O2" s="3" t="s">
        <v>24</v>
      </c>
    </row>
    <row r="3" spans="1:17" x14ac:dyDescent="0.2">
      <c r="A3" t="s">
        <v>8</v>
      </c>
      <c r="B3">
        <v>4.53</v>
      </c>
      <c r="C3">
        <f t="shared" ref="C3:C50" si="0">B3*D3</f>
        <v>231.03</v>
      </c>
      <c r="D3">
        <v>51</v>
      </c>
      <c r="E3">
        <v>5.05</v>
      </c>
      <c r="F3">
        <f t="shared" ref="F3:F50" si="1">(E3*D3)-C3</f>
        <v>26.52000000000001</v>
      </c>
      <c r="G3">
        <f t="shared" ref="G3:G50" si="2">E3-B3</f>
        <v>0.51999999999999957</v>
      </c>
      <c r="H3">
        <f t="shared" ref="H3:H30" si="3">((E3-B3)/B3)*100</f>
        <v>11.479028697571735</v>
      </c>
      <c r="I3" t="s">
        <v>30</v>
      </c>
      <c r="J3" s="1">
        <v>43370</v>
      </c>
      <c r="K3">
        <v>0</v>
      </c>
      <c r="L3" t="s">
        <v>16</v>
      </c>
      <c r="M3" t="s">
        <v>20</v>
      </c>
      <c r="N3" t="s">
        <v>15</v>
      </c>
      <c r="O3" s="3" t="s">
        <v>36</v>
      </c>
      <c r="P3" s="5" t="s">
        <v>18</v>
      </c>
      <c r="Q3" s="2">
        <f>SUM(F2:F49)</f>
        <v>-936.52999999999975</v>
      </c>
    </row>
    <row r="4" spans="1:17" ht="29.25" x14ac:dyDescent="0.2">
      <c r="A4" t="s">
        <v>31</v>
      </c>
      <c r="B4">
        <v>2.88</v>
      </c>
      <c r="C4">
        <f t="shared" si="0"/>
        <v>74.88</v>
      </c>
      <c r="D4">
        <v>26</v>
      </c>
      <c r="E4">
        <v>2.73</v>
      </c>
      <c r="F4">
        <f t="shared" si="1"/>
        <v>-3.8999999999999915</v>
      </c>
      <c r="G4">
        <f t="shared" si="2"/>
        <v>-0.14999999999999991</v>
      </c>
      <c r="H4">
        <f t="shared" si="3"/>
        <v>-5.2083333333333304</v>
      </c>
      <c r="I4" t="s">
        <v>32</v>
      </c>
      <c r="J4" s="1">
        <v>43370</v>
      </c>
      <c r="K4">
        <v>4</v>
      </c>
      <c r="L4" t="s">
        <v>16</v>
      </c>
      <c r="M4" t="s">
        <v>20</v>
      </c>
      <c r="N4" t="s">
        <v>14</v>
      </c>
      <c r="O4" s="3" t="s">
        <v>22</v>
      </c>
    </row>
    <row r="5" spans="1:17" ht="29.25" x14ac:dyDescent="0.2">
      <c r="A5" t="s">
        <v>9</v>
      </c>
      <c r="B5">
        <v>2.2200000000000002</v>
      </c>
      <c r="C5">
        <f t="shared" si="0"/>
        <v>222.00000000000003</v>
      </c>
      <c r="D5">
        <v>100</v>
      </c>
      <c r="E5">
        <v>2.17</v>
      </c>
      <c r="F5">
        <f t="shared" si="1"/>
        <v>-5.0000000000000284</v>
      </c>
      <c r="G5">
        <f t="shared" si="2"/>
        <v>-5.0000000000000266E-2</v>
      </c>
      <c r="H5">
        <f t="shared" si="3"/>
        <v>-2.2522522522522639</v>
      </c>
      <c r="I5" t="s">
        <v>33</v>
      </c>
      <c r="J5" s="1">
        <v>43371</v>
      </c>
      <c r="K5">
        <v>3</v>
      </c>
      <c r="L5" t="s">
        <v>16</v>
      </c>
      <c r="M5" t="s">
        <v>20</v>
      </c>
      <c r="N5" t="s">
        <v>14</v>
      </c>
      <c r="O5" s="3" t="s">
        <v>25</v>
      </c>
    </row>
    <row r="6" spans="1:17" x14ac:dyDescent="0.2">
      <c r="A6" t="s">
        <v>10</v>
      </c>
      <c r="B6">
        <v>1.1496999999999999</v>
      </c>
      <c r="C6">
        <f t="shared" si="0"/>
        <v>114.97</v>
      </c>
      <c r="D6">
        <v>100</v>
      </c>
      <c r="E6">
        <v>1.35</v>
      </c>
      <c r="F6">
        <f t="shared" si="1"/>
        <v>20.03</v>
      </c>
      <c r="G6">
        <f t="shared" si="2"/>
        <v>0.20030000000000014</v>
      </c>
      <c r="H6">
        <f t="shared" si="3"/>
        <v>17.421936157258429</v>
      </c>
      <c r="I6" t="s">
        <v>34</v>
      </c>
      <c r="J6" s="1">
        <v>43371</v>
      </c>
      <c r="K6">
        <v>0</v>
      </c>
      <c r="L6" t="s">
        <v>16</v>
      </c>
      <c r="M6" t="s">
        <v>20</v>
      </c>
      <c r="N6" t="s">
        <v>15</v>
      </c>
      <c r="O6" s="3" t="s">
        <v>37</v>
      </c>
    </row>
    <row r="7" spans="1:17" ht="19.5" x14ac:dyDescent="0.2">
      <c r="A7" t="s">
        <v>11</v>
      </c>
      <c r="B7">
        <v>3.5084</v>
      </c>
      <c r="C7">
        <f t="shared" si="0"/>
        <v>350.84</v>
      </c>
      <c r="D7">
        <v>100</v>
      </c>
      <c r="E7">
        <v>3.56</v>
      </c>
      <c r="F7">
        <f t="shared" si="1"/>
        <v>5.160000000000025</v>
      </c>
      <c r="G7">
        <f t="shared" si="2"/>
        <v>5.160000000000009E-2</v>
      </c>
      <c r="H7">
        <f t="shared" si="3"/>
        <v>1.4707559001254158</v>
      </c>
      <c r="I7" t="s">
        <v>35</v>
      </c>
      <c r="J7" s="1">
        <v>43371</v>
      </c>
      <c r="K7">
        <v>0</v>
      </c>
      <c r="L7" t="s">
        <v>16</v>
      </c>
      <c r="M7" t="s">
        <v>19</v>
      </c>
      <c r="N7" t="s">
        <v>15</v>
      </c>
      <c r="O7" s="3" t="s">
        <v>38</v>
      </c>
    </row>
    <row r="8" spans="1:17" ht="19.5" x14ac:dyDescent="0.2">
      <c r="A8" t="s">
        <v>39</v>
      </c>
      <c r="B8">
        <v>8.34</v>
      </c>
      <c r="C8">
        <f>B8*D8</f>
        <v>834</v>
      </c>
      <c r="D8">
        <v>100</v>
      </c>
      <c r="E8">
        <v>6.85</v>
      </c>
      <c r="F8">
        <f t="shared" si="1"/>
        <v>-149</v>
      </c>
      <c r="G8">
        <f t="shared" si="2"/>
        <v>-1.4900000000000002</v>
      </c>
      <c r="H8">
        <f t="shared" si="3"/>
        <v>-17.865707434052762</v>
      </c>
      <c r="I8" t="s">
        <v>41</v>
      </c>
      <c r="J8" s="1">
        <v>43374</v>
      </c>
      <c r="K8">
        <v>2</v>
      </c>
      <c r="L8" t="s">
        <v>16</v>
      </c>
      <c r="M8" t="s">
        <v>20</v>
      </c>
      <c r="N8" t="s">
        <v>14</v>
      </c>
      <c r="O8" s="4" t="s">
        <v>44</v>
      </c>
    </row>
    <row r="9" spans="1:17" x14ac:dyDescent="0.2">
      <c r="A9" t="s">
        <v>43</v>
      </c>
      <c r="B9">
        <v>2.44</v>
      </c>
      <c r="C9">
        <f>B9*D9</f>
        <v>244</v>
      </c>
      <c r="D9">
        <v>100</v>
      </c>
      <c r="E9">
        <v>2.2999999999999998</v>
      </c>
      <c r="F9">
        <f t="shared" si="1"/>
        <v>-14.000000000000028</v>
      </c>
      <c r="G9">
        <f t="shared" si="2"/>
        <v>-0.14000000000000012</v>
      </c>
      <c r="H9">
        <f t="shared" si="3"/>
        <v>-5.7377049180327919</v>
      </c>
      <c r="I9" t="s">
        <v>46</v>
      </c>
      <c r="J9" s="1">
        <v>43377</v>
      </c>
      <c r="K9">
        <v>2</v>
      </c>
      <c r="L9" t="s">
        <v>16</v>
      </c>
      <c r="M9" t="s">
        <v>47</v>
      </c>
      <c r="N9" t="s">
        <v>15</v>
      </c>
      <c r="O9" s="3" t="s">
        <v>48</v>
      </c>
    </row>
    <row r="10" spans="1:17" x14ac:dyDescent="0.2">
      <c r="A10" t="s">
        <v>42</v>
      </c>
      <c r="B10">
        <v>9.39</v>
      </c>
      <c r="C10">
        <f t="shared" si="0"/>
        <v>939</v>
      </c>
      <c r="D10">
        <v>100</v>
      </c>
      <c r="E10">
        <v>7.02</v>
      </c>
      <c r="F10">
        <f t="shared" si="1"/>
        <v>-237</v>
      </c>
      <c r="G10">
        <f t="shared" si="2"/>
        <v>-2.370000000000001</v>
      </c>
      <c r="H10">
        <f t="shared" si="3"/>
        <v>-25.239616613418541</v>
      </c>
      <c r="I10" t="s">
        <v>45</v>
      </c>
      <c r="J10" s="1">
        <v>43377</v>
      </c>
      <c r="K10">
        <v>2</v>
      </c>
      <c r="L10" t="s">
        <v>16</v>
      </c>
      <c r="M10" t="s">
        <v>47</v>
      </c>
      <c r="N10" t="s">
        <v>14</v>
      </c>
      <c r="O10" s="3" t="s">
        <v>49</v>
      </c>
    </row>
    <row r="11" spans="1:17" x14ac:dyDescent="0.2">
      <c r="A11" t="s">
        <v>39</v>
      </c>
      <c r="B11">
        <v>5.84</v>
      </c>
      <c r="C11">
        <f>B11*D11</f>
        <v>584</v>
      </c>
      <c r="D11">
        <v>100</v>
      </c>
      <c r="E11">
        <v>1.1000000000000001</v>
      </c>
      <c r="F11">
        <f t="shared" si="1"/>
        <v>-474</v>
      </c>
      <c r="G11">
        <f t="shared" si="2"/>
        <v>-4.74</v>
      </c>
      <c r="H11">
        <f t="shared" si="3"/>
        <v>-81.164383561643831</v>
      </c>
      <c r="I11" t="s">
        <v>50</v>
      </c>
      <c r="J11" s="1">
        <v>43381</v>
      </c>
      <c r="K11">
        <v>2</v>
      </c>
      <c r="L11" t="s">
        <v>16</v>
      </c>
      <c r="M11" t="s">
        <v>51</v>
      </c>
      <c r="N11" t="s">
        <v>14</v>
      </c>
      <c r="O11" s="3" t="s">
        <v>52</v>
      </c>
    </row>
    <row r="12" spans="1:17" x14ac:dyDescent="0.2">
      <c r="A12" t="s">
        <v>53</v>
      </c>
      <c r="B12">
        <v>1.82</v>
      </c>
      <c r="C12">
        <f t="shared" si="0"/>
        <v>182</v>
      </c>
      <c r="D12">
        <v>100</v>
      </c>
      <c r="E12">
        <v>0.8246</v>
      </c>
      <c r="F12">
        <f t="shared" si="1"/>
        <v>-99.54</v>
      </c>
      <c r="G12">
        <f t="shared" si="2"/>
        <v>-0.99540000000000006</v>
      </c>
      <c r="H12">
        <f t="shared" si="3"/>
        <v>-54.692307692307693</v>
      </c>
      <c r="I12" t="s">
        <v>54</v>
      </c>
      <c r="J12" s="1">
        <v>43378</v>
      </c>
      <c r="K12">
        <v>2</v>
      </c>
      <c r="L12" t="s">
        <v>16</v>
      </c>
      <c r="M12" t="s">
        <v>51</v>
      </c>
      <c r="N12" t="s">
        <v>14</v>
      </c>
      <c r="O12" s="3" t="s">
        <v>52</v>
      </c>
    </row>
    <row r="13" spans="1:17" x14ac:dyDescent="0.2">
      <c r="A13" t="s">
        <v>9</v>
      </c>
      <c r="B13">
        <v>1.01</v>
      </c>
      <c r="C13">
        <f t="shared" si="0"/>
        <v>101</v>
      </c>
      <c r="D13">
        <v>100</v>
      </c>
      <c r="E13">
        <v>0.82340000000000002</v>
      </c>
      <c r="F13">
        <f t="shared" si="1"/>
        <v>-18.659999999999997</v>
      </c>
      <c r="G13">
        <f t="shared" si="2"/>
        <v>-0.18659999999999999</v>
      </c>
      <c r="H13">
        <f t="shared" si="3"/>
        <v>-18.475247524752476</v>
      </c>
      <c r="I13" t="s">
        <v>55</v>
      </c>
      <c r="J13" s="1">
        <v>43389</v>
      </c>
      <c r="K13">
        <v>2</v>
      </c>
      <c r="L13" t="s">
        <v>16</v>
      </c>
      <c r="M13" t="s">
        <v>51</v>
      </c>
      <c r="N13" t="s">
        <v>14</v>
      </c>
      <c r="O13" s="3" t="s">
        <v>52</v>
      </c>
    </row>
    <row r="14" spans="1:17" ht="29.25" x14ac:dyDescent="0.2">
      <c r="A14" s="5" t="s">
        <v>56</v>
      </c>
      <c r="B14" s="5">
        <v>2.0499999999999998</v>
      </c>
      <c r="C14" s="5">
        <f t="shared" si="0"/>
        <v>358.74999999999994</v>
      </c>
      <c r="D14" s="5">
        <v>175</v>
      </c>
      <c r="E14" s="5">
        <v>2.23</v>
      </c>
      <c r="F14" s="5">
        <f t="shared" si="1"/>
        <v>31.500000000000057</v>
      </c>
      <c r="G14" s="5">
        <f t="shared" si="2"/>
        <v>0.18000000000000016</v>
      </c>
      <c r="H14" s="5">
        <f t="shared" si="3"/>
        <v>8.7804878048780584</v>
      </c>
      <c r="I14" s="5" t="s">
        <v>61</v>
      </c>
      <c r="J14" s="6">
        <v>43404</v>
      </c>
      <c r="K14" s="5">
        <v>0</v>
      </c>
      <c r="L14" s="5" t="s">
        <v>16</v>
      </c>
      <c r="M14" s="5" t="s">
        <v>57</v>
      </c>
      <c r="N14" s="5" t="s">
        <v>58</v>
      </c>
      <c r="O14" s="4" t="s">
        <v>59</v>
      </c>
      <c r="P14" s="5" t="s">
        <v>60</v>
      </c>
    </row>
    <row r="15" spans="1:17" x14ac:dyDescent="0.2">
      <c r="C15">
        <f t="shared" si="0"/>
        <v>0</v>
      </c>
      <c r="D15">
        <v>200</v>
      </c>
      <c r="F15">
        <f t="shared" si="1"/>
        <v>0</v>
      </c>
      <c r="G15">
        <f t="shared" si="2"/>
        <v>0</v>
      </c>
      <c r="H15" t="e">
        <f t="shared" si="3"/>
        <v>#DIV/0!</v>
      </c>
      <c r="K15">
        <v>2</v>
      </c>
    </row>
    <row r="16" spans="1:17" x14ac:dyDescent="0.2">
      <c r="C16">
        <f t="shared" si="0"/>
        <v>0</v>
      </c>
      <c r="D16">
        <v>500</v>
      </c>
      <c r="F16">
        <f t="shared" si="1"/>
        <v>0</v>
      </c>
      <c r="G16">
        <f t="shared" si="2"/>
        <v>0</v>
      </c>
      <c r="H16" t="e">
        <f t="shared" si="3"/>
        <v>#DIV/0!</v>
      </c>
      <c r="K16">
        <v>2</v>
      </c>
    </row>
    <row r="17" spans="3:11" x14ac:dyDescent="0.2">
      <c r="C17">
        <f t="shared" si="0"/>
        <v>0</v>
      </c>
      <c r="D17">
        <v>500</v>
      </c>
      <c r="F17">
        <f t="shared" si="1"/>
        <v>0</v>
      </c>
      <c r="G17">
        <f t="shared" si="2"/>
        <v>0</v>
      </c>
      <c r="H17" t="e">
        <f t="shared" si="3"/>
        <v>#DIV/0!</v>
      </c>
      <c r="K17">
        <v>2</v>
      </c>
    </row>
    <row r="18" spans="3:11" x14ac:dyDescent="0.2">
      <c r="C18">
        <f t="shared" si="0"/>
        <v>0</v>
      </c>
      <c r="D18">
        <v>500</v>
      </c>
      <c r="F18">
        <f t="shared" si="1"/>
        <v>0</v>
      </c>
      <c r="G18">
        <f t="shared" si="2"/>
        <v>0</v>
      </c>
      <c r="H18" t="e">
        <f t="shared" si="3"/>
        <v>#DIV/0!</v>
      </c>
      <c r="K18">
        <v>2</v>
      </c>
    </row>
    <row r="19" spans="3:11" x14ac:dyDescent="0.2">
      <c r="C19">
        <f t="shared" si="0"/>
        <v>0</v>
      </c>
      <c r="D19">
        <v>1000</v>
      </c>
      <c r="F19">
        <f t="shared" si="1"/>
        <v>0</v>
      </c>
      <c r="G19">
        <f t="shared" si="2"/>
        <v>0</v>
      </c>
      <c r="H19" t="e">
        <f t="shared" si="3"/>
        <v>#DIV/0!</v>
      </c>
      <c r="K19">
        <v>2</v>
      </c>
    </row>
    <row r="20" spans="3:11" x14ac:dyDescent="0.2">
      <c r="C20">
        <f t="shared" si="0"/>
        <v>0</v>
      </c>
      <c r="D20">
        <v>1000</v>
      </c>
      <c r="F20">
        <f t="shared" si="1"/>
        <v>0</v>
      </c>
      <c r="G20">
        <f t="shared" si="2"/>
        <v>0</v>
      </c>
      <c r="H20" t="e">
        <f t="shared" si="3"/>
        <v>#DIV/0!</v>
      </c>
      <c r="K20">
        <v>2</v>
      </c>
    </row>
    <row r="21" spans="3:11" x14ac:dyDescent="0.2">
      <c r="C21">
        <f t="shared" si="0"/>
        <v>0</v>
      </c>
      <c r="D21">
        <v>1000</v>
      </c>
      <c r="F21">
        <f t="shared" si="1"/>
        <v>0</v>
      </c>
      <c r="G21">
        <f t="shared" si="2"/>
        <v>0</v>
      </c>
      <c r="H21" t="e">
        <f t="shared" si="3"/>
        <v>#DIV/0!</v>
      </c>
      <c r="K21">
        <v>2</v>
      </c>
    </row>
    <row r="22" spans="3:11" x14ac:dyDescent="0.2">
      <c r="C22">
        <f t="shared" si="0"/>
        <v>0</v>
      </c>
      <c r="D22">
        <v>2000</v>
      </c>
      <c r="F22">
        <f t="shared" si="1"/>
        <v>0</v>
      </c>
      <c r="G22">
        <f t="shared" si="2"/>
        <v>0</v>
      </c>
      <c r="H22" t="e">
        <f t="shared" si="3"/>
        <v>#DIV/0!</v>
      </c>
      <c r="K22">
        <v>2</v>
      </c>
    </row>
    <row r="23" spans="3:11" x14ac:dyDescent="0.2">
      <c r="C23">
        <f t="shared" si="0"/>
        <v>0</v>
      </c>
      <c r="D23">
        <v>2000</v>
      </c>
      <c r="F23">
        <f t="shared" si="1"/>
        <v>0</v>
      </c>
      <c r="G23">
        <f t="shared" si="2"/>
        <v>0</v>
      </c>
      <c r="H23" t="e">
        <f t="shared" si="3"/>
        <v>#DIV/0!</v>
      </c>
      <c r="K23">
        <v>2</v>
      </c>
    </row>
    <row r="24" spans="3:11" x14ac:dyDescent="0.2">
      <c r="C24">
        <f t="shared" si="0"/>
        <v>0</v>
      </c>
      <c r="D24">
        <v>5000</v>
      </c>
      <c r="F24">
        <f t="shared" si="1"/>
        <v>0</v>
      </c>
      <c r="G24">
        <f t="shared" si="2"/>
        <v>0</v>
      </c>
      <c r="H24" t="e">
        <f t="shared" si="3"/>
        <v>#DIV/0!</v>
      </c>
      <c r="K24">
        <v>2</v>
      </c>
    </row>
    <row r="25" spans="3:11" x14ac:dyDescent="0.2">
      <c r="C25">
        <f t="shared" si="0"/>
        <v>0</v>
      </c>
      <c r="D25">
        <v>5000</v>
      </c>
      <c r="F25">
        <f t="shared" si="1"/>
        <v>0</v>
      </c>
      <c r="G25">
        <f t="shared" si="2"/>
        <v>0</v>
      </c>
      <c r="H25" t="e">
        <f t="shared" si="3"/>
        <v>#DIV/0!</v>
      </c>
      <c r="K25">
        <v>2</v>
      </c>
    </row>
    <row r="26" spans="3:11" x14ac:dyDescent="0.2">
      <c r="C26">
        <f t="shared" si="0"/>
        <v>0</v>
      </c>
      <c r="D26">
        <v>5000</v>
      </c>
      <c r="F26">
        <f t="shared" si="1"/>
        <v>0</v>
      </c>
      <c r="G26">
        <f t="shared" si="2"/>
        <v>0</v>
      </c>
      <c r="H26" t="e">
        <f t="shared" si="3"/>
        <v>#DIV/0!</v>
      </c>
      <c r="K26">
        <v>2</v>
      </c>
    </row>
    <row r="27" spans="3:11" x14ac:dyDescent="0.2">
      <c r="C27">
        <f t="shared" si="0"/>
        <v>0</v>
      </c>
      <c r="D27">
        <v>5000</v>
      </c>
      <c r="F27">
        <f t="shared" si="1"/>
        <v>0</v>
      </c>
      <c r="G27">
        <f t="shared" si="2"/>
        <v>0</v>
      </c>
      <c r="H27" t="e">
        <f t="shared" si="3"/>
        <v>#DIV/0!</v>
      </c>
      <c r="K27">
        <v>2</v>
      </c>
    </row>
    <row r="28" spans="3:11" x14ac:dyDescent="0.2">
      <c r="C28">
        <f t="shared" si="0"/>
        <v>0</v>
      </c>
      <c r="D28">
        <v>5000</v>
      </c>
      <c r="F28">
        <f t="shared" si="1"/>
        <v>0</v>
      </c>
      <c r="G28">
        <f t="shared" si="2"/>
        <v>0</v>
      </c>
      <c r="H28" t="e">
        <f t="shared" si="3"/>
        <v>#DIV/0!</v>
      </c>
      <c r="K28">
        <v>2</v>
      </c>
    </row>
    <row r="29" spans="3:11" x14ac:dyDescent="0.2">
      <c r="C29">
        <f t="shared" si="0"/>
        <v>0</v>
      </c>
      <c r="D29">
        <v>5000</v>
      </c>
      <c r="F29">
        <f t="shared" si="1"/>
        <v>0</v>
      </c>
      <c r="G29">
        <f t="shared" si="2"/>
        <v>0</v>
      </c>
      <c r="H29" t="e">
        <f t="shared" si="3"/>
        <v>#DIV/0!</v>
      </c>
      <c r="K29">
        <v>2</v>
      </c>
    </row>
    <row r="30" spans="3:11" x14ac:dyDescent="0.2">
      <c r="C30">
        <f t="shared" si="0"/>
        <v>0</v>
      </c>
      <c r="D30">
        <v>10000</v>
      </c>
      <c r="F30">
        <f t="shared" si="1"/>
        <v>0</v>
      </c>
      <c r="G30">
        <f t="shared" si="2"/>
        <v>0</v>
      </c>
      <c r="H30" t="e">
        <f t="shared" si="3"/>
        <v>#DIV/0!</v>
      </c>
      <c r="K30">
        <v>2</v>
      </c>
    </row>
    <row r="31" spans="3:11" x14ac:dyDescent="0.2">
      <c r="C31">
        <f t="shared" si="0"/>
        <v>0</v>
      </c>
      <c r="D31">
        <v>10000</v>
      </c>
      <c r="F31">
        <f t="shared" si="1"/>
        <v>0</v>
      </c>
      <c r="G31">
        <f t="shared" si="2"/>
        <v>0</v>
      </c>
      <c r="K31">
        <v>2</v>
      </c>
    </row>
    <row r="32" spans="3:11" x14ac:dyDescent="0.2">
      <c r="C32">
        <f t="shared" si="0"/>
        <v>0</v>
      </c>
      <c r="D32">
        <v>10000</v>
      </c>
      <c r="F32">
        <f t="shared" si="1"/>
        <v>0</v>
      </c>
      <c r="G32">
        <f t="shared" si="2"/>
        <v>0</v>
      </c>
      <c r="K32">
        <v>2</v>
      </c>
    </row>
    <row r="33" spans="3:11" x14ac:dyDescent="0.2">
      <c r="C33">
        <f t="shared" si="0"/>
        <v>0</v>
      </c>
      <c r="D33">
        <v>10000</v>
      </c>
      <c r="F33">
        <f t="shared" si="1"/>
        <v>0</v>
      </c>
      <c r="G33">
        <f t="shared" si="2"/>
        <v>0</v>
      </c>
      <c r="K33">
        <v>2</v>
      </c>
    </row>
    <row r="34" spans="3:11" x14ac:dyDescent="0.2">
      <c r="C34">
        <f t="shared" si="0"/>
        <v>0</v>
      </c>
      <c r="D34">
        <v>10000</v>
      </c>
      <c r="F34">
        <f t="shared" si="1"/>
        <v>0</v>
      </c>
      <c r="G34">
        <f t="shared" si="2"/>
        <v>0</v>
      </c>
      <c r="K34">
        <v>2</v>
      </c>
    </row>
    <row r="35" spans="3:11" x14ac:dyDescent="0.2">
      <c r="C35">
        <f t="shared" si="0"/>
        <v>0</v>
      </c>
      <c r="D35">
        <v>10000</v>
      </c>
      <c r="F35">
        <f t="shared" si="1"/>
        <v>0</v>
      </c>
      <c r="G35">
        <f t="shared" si="2"/>
        <v>0</v>
      </c>
      <c r="K35">
        <v>2</v>
      </c>
    </row>
    <row r="36" spans="3:11" x14ac:dyDescent="0.2">
      <c r="C36">
        <f t="shared" si="0"/>
        <v>0</v>
      </c>
      <c r="D36">
        <v>20000</v>
      </c>
      <c r="F36">
        <f t="shared" si="1"/>
        <v>0</v>
      </c>
      <c r="G36">
        <f t="shared" si="2"/>
        <v>0</v>
      </c>
      <c r="K36">
        <v>2</v>
      </c>
    </row>
    <row r="37" spans="3:11" x14ac:dyDescent="0.2">
      <c r="C37">
        <f t="shared" si="0"/>
        <v>0</v>
      </c>
      <c r="D37">
        <v>20000</v>
      </c>
      <c r="F37">
        <f t="shared" si="1"/>
        <v>0</v>
      </c>
      <c r="G37">
        <f t="shared" si="2"/>
        <v>0</v>
      </c>
      <c r="K37">
        <v>2</v>
      </c>
    </row>
    <row r="38" spans="3:11" x14ac:dyDescent="0.2">
      <c r="C38">
        <f t="shared" si="0"/>
        <v>0</v>
      </c>
      <c r="D38">
        <v>20000</v>
      </c>
      <c r="F38">
        <f t="shared" si="1"/>
        <v>0</v>
      </c>
      <c r="G38">
        <f t="shared" si="2"/>
        <v>0</v>
      </c>
      <c r="K38">
        <v>2</v>
      </c>
    </row>
    <row r="39" spans="3:11" x14ac:dyDescent="0.2">
      <c r="C39">
        <f t="shared" si="0"/>
        <v>0</v>
      </c>
      <c r="D39">
        <v>20000</v>
      </c>
      <c r="F39">
        <f t="shared" si="1"/>
        <v>0</v>
      </c>
      <c r="G39">
        <f t="shared" si="2"/>
        <v>0</v>
      </c>
      <c r="K39">
        <v>2</v>
      </c>
    </row>
    <row r="40" spans="3:11" x14ac:dyDescent="0.2">
      <c r="C40">
        <f t="shared" si="0"/>
        <v>0</v>
      </c>
      <c r="D40">
        <v>20000</v>
      </c>
      <c r="F40">
        <f t="shared" si="1"/>
        <v>0</v>
      </c>
      <c r="G40">
        <f t="shared" si="2"/>
        <v>0</v>
      </c>
      <c r="K40">
        <v>2</v>
      </c>
    </row>
    <row r="41" spans="3:11" x14ac:dyDescent="0.2">
      <c r="C41">
        <f t="shared" si="0"/>
        <v>0</v>
      </c>
      <c r="D41">
        <v>50000</v>
      </c>
      <c r="F41">
        <f t="shared" si="1"/>
        <v>0</v>
      </c>
      <c r="G41">
        <f t="shared" si="2"/>
        <v>0</v>
      </c>
      <c r="K41">
        <v>2</v>
      </c>
    </row>
    <row r="42" spans="3:11" x14ac:dyDescent="0.2">
      <c r="C42">
        <f t="shared" si="0"/>
        <v>0</v>
      </c>
      <c r="D42">
        <v>50000</v>
      </c>
      <c r="F42">
        <f t="shared" si="1"/>
        <v>0</v>
      </c>
      <c r="G42">
        <f t="shared" si="2"/>
        <v>0</v>
      </c>
      <c r="K42">
        <v>2</v>
      </c>
    </row>
    <row r="43" spans="3:11" x14ac:dyDescent="0.2">
      <c r="C43">
        <f t="shared" si="0"/>
        <v>0</v>
      </c>
      <c r="D43">
        <v>50000</v>
      </c>
      <c r="F43">
        <f t="shared" si="1"/>
        <v>0</v>
      </c>
      <c r="G43">
        <f t="shared" si="2"/>
        <v>0</v>
      </c>
      <c r="K43">
        <v>2</v>
      </c>
    </row>
    <row r="44" spans="3:11" x14ac:dyDescent="0.2">
      <c r="C44">
        <f t="shared" si="0"/>
        <v>0</v>
      </c>
      <c r="D44">
        <v>50000</v>
      </c>
      <c r="F44">
        <f t="shared" si="1"/>
        <v>0</v>
      </c>
      <c r="G44">
        <f t="shared" si="2"/>
        <v>0</v>
      </c>
      <c r="K44">
        <v>2</v>
      </c>
    </row>
    <row r="45" spans="3:11" x14ac:dyDescent="0.2">
      <c r="C45">
        <f t="shared" si="0"/>
        <v>0</v>
      </c>
      <c r="D45">
        <v>100000</v>
      </c>
      <c r="F45">
        <f t="shared" si="1"/>
        <v>0</v>
      </c>
      <c r="G45">
        <f t="shared" si="2"/>
        <v>0</v>
      </c>
      <c r="K45">
        <v>2</v>
      </c>
    </row>
    <row r="46" spans="3:11" x14ac:dyDescent="0.2">
      <c r="C46">
        <f t="shared" si="0"/>
        <v>0</v>
      </c>
      <c r="D46">
        <v>500000</v>
      </c>
      <c r="F46">
        <f t="shared" si="1"/>
        <v>0</v>
      </c>
      <c r="G46">
        <f t="shared" si="2"/>
        <v>0</v>
      </c>
      <c r="K46">
        <v>2</v>
      </c>
    </row>
    <row r="47" spans="3:11" x14ac:dyDescent="0.2">
      <c r="C47">
        <f t="shared" si="0"/>
        <v>0</v>
      </c>
      <c r="D47">
        <v>1000000</v>
      </c>
      <c r="F47">
        <f t="shared" si="1"/>
        <v>0</v>
      </c>
      <c r="G47">
        <f t="shared" si="2"/>
        <v>0</v>
      </c>
      <c r="K47">
        <v>2</v>
      </c>
    </row>
    <row r="48" spans="3:11" x14ac:dyDescent="0.2">
      <c r="C48">
        <f t="shared" si="0"/>
        <v>0</v>
      </c>
      <c r="D48">
        <v>2000000</v>
      </c>
      <c r="F48">
        <f t="shared" si="1"/>
        <v>0</v>
      </c>
      <c r="G48">
        <f t="shared" si="2"/>
        <v>0</v>
      </c>
      <c r="K48">
        <v>2</v>
      </c>
    </row>
    <row r="49" spans="3:15" x14ac:dyDescent="0.2">
      <c r="C49">
        <f t="shared" si="0"/>
        <v>0</v>
      </c>
      <c r="D49">
        <v>5000000</v>
      </c>
      <c r="F49">
        <f t="shared" si="1"/>
        <v>0</v>
      </c>
      <c r="G49">
        <f t="shared" si="2"/>
        <v>0</v>
      </c>
    </row>
    <row r="50" spans="3:15" x14ac:dyDescent="0.2">
      <c r="C50">
        <f t="shared" si="0"/>
        <v>0</v>
      </c>
      <c r="D50">
        <v>10000000</v>
      </c>
      <c r="F50">
        <f t="shared" si="1"/>
        <v>0</v>
      </c>
      <c r="G50">
        <f t="shared" si="2"/>
        <v>0</v>
      </c>
    </row>
    <row r="51" spans="3:15" x14ac:dyDescent="0.2">
      <c r="D51" s="3"/>
      <c r="O51"/>
    </row>
    <row r="52" spans="3:15" x14ac:dyDescent="0.2">
      <c r="D52" s="3"/>
      <c r="O52"/>
    </row>
    <row r="53" spans="3:15" x14ac:dyDescent="0.2">
      <c r="D53" s="3"/>
      <c r="O53"/>
    </row>
    <row r="54" spans="3:15" x14ac:dyDescent="0.2">
      <c r="D54" s="3"/>
      <c r="O54"/>
    </row>
    <row r="55" spans="3:15" x14ac:dyDescent="0.2">
      <c r="D55" s="3"/>
      <c r="O55"/>
    </row>
    <row r="56" spans="3:15" x14ac:dyDescent="0.2">
      <c r="D56" s="3"/>
      <c r="O56"/>
    </row>
    <row r="57" spans="3:15" x14ac:dyDescent="0.2">
      <c r="D57" s="3"/>
      <c r="O57"/>
    </row>
    <row r="58" spans="3:15" x14ac:dyDescent="0.2">
      <c r="D58" s="3"/>
      <c r="O58"/>
    </row>
    <row r="59" spans="3:15" x14ac:dyDescent="0.2">
      <c r="D59" s="3"/>
      <c r="O59"/>
    </row>
    <row r="60" spans="3:15" x14ac:dyDescent="0.2">
      <c r="D60" s="3"/>
      <c r="O60"/>
    </row>
    <row r="61" spans="3:15" x14ac:dyDescent="0.2">
      <c r="D61" s="3"/>
      <c r="O61"/>
    </row>
    <row r="62" spans="3:15" x14ac:dyDescent="0.2">
      <c r="D62" s="3"/>
      <c r="O62"/>
    </row>
    <row r="63" spans="3:15" x14ac:dyDescent="0.2">
      <c r="D63" s="3"/>
      <c r="O63"/>
    </row>
    <row r="64" spans="3:15" x14ac:dyDescent="0.2">
      <c r="D64" s="3"/>
      <c r="O64"/>
    </row>
    <row r="65" spans="4:15" x14ac:dyDescent="0.2">
      <c r="D65" s="3"/>
      <c r="O65"/>
    </row>
    <row r="66" spans="4:15" x14ac:dyDescent="0.2">
      <c r="D66" s="3"/>
      <c r="O66"/>
    </row>
    <row r="67" spans="4:15" x14ac:dyDescent="0.2">
      <c r="D67" s="3"/>
      <c r="O67"/>
    </row>
    <row r="68" spans="4:15" x14ac:dyDescent="0.2">
      <c r="D68" s="3"/>
      <c r="O68"/>
    </row>
  </sheetData>
  <conditionalFormatting sqref="F1:F1048576">
    <cfRule type="cellIs" dxfId="5" priority="5" operator="lessThan">
      <formula>0</formula>
    </cfRule>
  </conditionalFormatting>
  <conditionalFormatting sqref="F2:F50">
    <cfRule type="cellIs" dxfId="4" priority="6" operator="greaterThan">
      <formula>0</formula>
    </cfRule>
  </conditionalFormatting>
  <conditionalFormatting sqref="G2:G50">
    <cfRule type="cellIs" dxfId="3" priority="7" operator="lessThan">
      <formula>0</formula>
    </cfRule>
  </conditionalFormatting>
  <conditionalFormatting sqref="G1:H1048576">
    <cfRule type="cellIs" dxfId="2" priority="2" operator="greaterThan">
      <formula>0</formula>
    </cfRule>
  </conditionalFormatting>
  <conditionalFormatting sqref="H1 G1:G1048576">
    <cfRule type="cellIs" dxfId="1" priority="4" operator="greaterThan">
      <formula>0</formula>
    </cfRule>
  </conditionalFormatting>
  <conditionalFormatting sqref="H1:H1048576">
    <cfRule type="cellIs" dxfId="0" priority="1" operator="lessThan">
      <formula>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Tariye Peter</dc:creator>
  <cp:lastModifiedBy>Tariye Peter</cp:lastModifiedBy>
  <dcterms:created xsi:type="dcterms:W3CDTF">2018-09-29T17:20:54Z</dcterms:created>
  <dcterms:modified xsi:type="dcterms:W3CDTF">2019-06-20T18:56:23Z</dcterms:modified>
</cp:coreProperties>
</file>